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тоги" sheetId="1" state="visible" r:id="rId3"/>
    <sheet name="Юнит-экономика" sheetId="2" state="visible" r:id="rId4"/>
    <sheet name="Допущения" sheetId="3" state="visible" r:id="rId5"/>
    <sheet name="План" sheetId="4" state="visible" r:id="rId6"/>
    <sheet name="Сравнение моделей" sheetId="5" state="visible" r:id="rId7"/>
    <sheet name="Рынок" sheetId="6" state="visible" r:id="rId8"/>
    <sheet name="Риски и источники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<sst xmlns="http://schemas.openxmlformats.org/spreadsheetml/2006/main" count="369" uniqueCount="235">
  <si>
    <t xml:space="preserve">Финансовая модель «Партер»: итоги за три года</t>
  </si>
  <si>
    <t xml:space="preserve">Модель — сервисный сбор с покупателя (бизнес-решение 2026-10-02), организатор не платит; команда — только основатель; Казахстан, тенге. Все значения — формулы от листа «Допущения».</t>
  </si>
  <si>
    <t xml:space="preserve">Пессимистичный</t>
  </si>
  <si>
    <t xml:space="preserve">Базовый</t>
  </si>
  <si>
    <t xml:space="preserve">Оптимистичный</t>
  </si>
  <si>
    <t xml:space="preserve">Показатель</t>
  </si>
  <si>
    <t xml:space="preserve">Год 1</t>
  </si>
  <si>
    <t xml:space="preserve">Год 2</t>
  </si>
  <si>
    <t xml:space="preserve">Год 3</t>
  </si>
  <si>
    <t xml:space="preserve">Активных организаторов на конец года</t>
  </si>
  <si>
    <t xml:space="preserve">Продано билетов</t>
  </si>
  <si>
    <t xml:space="preserve">Оборот билетов (GMV), ₸</t>
  </si>
  <si>
    <t xml:space="preserve">Выручка, ₸</t>
  </si>
  <si>
    <t xml:space="preserve">Маржинальная прибыль, ₸</t>
  </si>
  <si>
    <t xml:space="preserve">Постоянные расходы и маркетинг, ₸</t>
  </si>
  <si>
    <t xml:space="preserve">Операционная прибыль, ₸</t>
  </si>
  <si>
    <t xml:space="preserve">Накопленный поток на конец года, ₸</t>
  </si>
  <si>
    <t xml:space="preserve">Ключевые выводы</t>
  </si>
  <si>
    <t xml:space="preserve">Первый месяц с операционной прибылью</t>
  </si>
  <si>
    <t xml:space="preserve">Месяц, с которого накопленный поток ≥ 0 (окупаемость)</t>
  </si>
  <si>
    <t xml:space="preserve">Нужно вложить до окупаемости (минимум накопленного потока), ₸</t>
  </si>
  <si>
    <t xml:space="preserve">Выручка за 3 года, ₸</t>
  </si>
  <si>
    <t xml:space="preserve">Операционная прибыль за 3 года, ₸</t>
  </si>
  <si>
    <t xml:space="preserve">LTV / CAC</t>
  </si>
  <si>
    <t xml:space="preserve">Юнит-экономика: один билет и один организатор</t>
  </si>
  <si>
    <t xml:space="preserve">Цены и ставки — из листа «Допущения»; маржа на билет учитывает бесплатные билеты и возвраты.</t>
  </si>
  <si>
    <t xml:space="preserve">На один проданный билет</t>
  </si>
  <si>
    <t xml:space="preserve">Цена билета, ₸</t>
  </si>
  <si>
    <t xml:space="preserve">Сервисный сбор и комиссия с платного билета, ₸</t>
  </si>
  <si>
    <t xml:space="preserve">Средняя выручка на проданный билет, ₸</t>
  </si>
  <si>
    <t xml:space="preserve">с учётом бесплатных билетов и возвратов</t>
  </si>
  <si>
    <t xml:space="preserve">Эквайринг на проданный билет, ₸</t>
  </si>
  <si>
    <t xml:space="preserve">с суммы оплаты, включая сбор; при возврате не возвращается</t>
  </si>
  <si>
    <t xml:space="preserve">SMS и инфраструктура на билет, ₸</t>
  </si>
  <si>
    <t xml:space="preserve">Налог, ₸</t>
  </si>
  <si>
    <t xml:space="preserve">Маржа на проданный билет, ₸</t>
  </si>
  <si>
    <t xml:space="preserve">Маржа, % от цены билета</t>
  </si>
  <si>
    <t xml:space="preserve">в spec.md было ~2% при сборе 5% и эквайринге 2,5%</t>
  </si>
  <si>
    <t xml:space="preserve">На одного организатора</t>
  </si>
  <si>
    <t xml:space="preserve">Билетов в месяц (в среднем по году, с сезонностью)</t>
  </si>
  <si>
    <t xml:space="preserve">Маржа с организатора в месяц, ₸</t>
  </si>
  <si>
    <t xml:space="preserve">Отток в месяц</t>
  </si>
  <si>
    <t xml:space="preserve">Средний срок жизни организатора, мес</t>
  </si>
  <si>
    <t xml:space="preserve">1 / отток</t>
  </si>
  <si>
    <t xml:space="preserve">LTV (маржа за срок жизни), ₸</t>
  </si>
  <si>
    <t xml:space="preserve">CAC, ₸</t>
  </si>
  <si>
    <t xml:space="preserve">больше 3x — привлечение окупается с запасом</t>
  </si>
  <si>
    <t xml:space="preserve">Окупаемость привлечения, мес</t>
  </si>
  <si>
    <t xml:space="preserve">CAC / маржа в месяц</t>
  </si>
  <si>
    <t xml:space="preserve">Организаторов для безубыточности во 2-м году</t>
  </si>
  <si>
    <t xml:space="preserve">постоянные расходы 2-го года без маркетинга / маржа с организатора</t>
  </si>
  <si>
    <t xml:space="preserve">Финансовая модель «Партер» — допущения</t>
  </si>
  <si>
    <t xml:space="preserve">Синие числа — вводимые значения, их можно менять; жёлтым выделены ключевые бизнес-параметры. Все остальные листы считаются формулами от этого листа. Суммы — в тенге, проценты — доли.</t>
  </si>
  <si>
    <t xml:space="preserve">Общие параметры</t>
  </si>
  <si>
    <t xml:space="preserve">Значение</t>
  </si>
  <si>
    <t xml:space="preserve">Источник / обоснование</t>
  </si>
  <si>
    <t xml:space="preserve">Первый месяц модели</t>
  </si>
  <si>
    <t xml:space="preserve">Запуск после защиты диплома (май 2027). Допущение.</t>
  </si>
  <si>
    <t xml:space="preserve">Сервисный сбор с покупателя</t>
  </si>
  <si>
    <t xml:space="preserve">от цены</t>
  </si>
  <si>
    <t xml:space="preserve">Бизнес-решение 2026-10-02: 5% (сначала 7%, снижено владельцем продукта). Рынок ~10%. В продукте — SERVICE_FEE_BPS, ADR 019.</t>
  </si>
  <si>
    <t xml:space="preserve">Комиссия с организатора</t>
  </si>
  <si>
    <t xml:space="preserve">Бизнес-решение 2026-10-02: организатор не платит.</t>
  </si>
  <si>
    <t xml:space="preserve">Налог (упрощённый режим, ИП)</t>
  </si>
  <si>
    <t xml:space="preserve">от дохода</t>
  </si>
  <si>
    <t xml:space="preserve">Базовая ставка 4% по Налоговому кодексу РК с 2026; акимат может снизить до 2%. Доход — только сбор: нужна агентская схема (лист «Риски»).</t>
  </si>
  <si>
    <t xml:space="preserve">Билетов в одном заказе</t>
  </si>
  <si>
    <t xml:space="preserve">шт.</t>
  </si>
  <si>
    <t xml:space="preserve">Допущение: пара — типичный заказ на концерт/стендап.</t>
  </si>
  <si>
    <t xml:space="preserve">SMS с кодом входа на заказ</t>
  </si>
  <si>
    <t xml:space="preserve">₸</t>
  </si>
  <si>
    <t xml:space="preserve">Допущение по местным SMS-агрегаторам; международные шлюзы дороже (~€0,14). Код нужен при входе, не на каждый заказ — консервативно.</t>
  </si>
  <si>
    <t xml:space="preserve">Инфраструктура и письма на билет</t>
  </si>
  <si>
    <t xml:space="preserve">Допущение: почта, хранилище, вычисления сверх фиксированного хостинга.</t>
  </si>
  <si>
    <t xml:space="preserve">Доля бесплатных билетов</t>
  </si>
  <si>
    <t xml:space="preserve">от проданных</t>
  </si>
  <si>
    <t xml:space="preserve">Бесплатные билеты есть в продукте; сбор с них не берётся. Допущение.</t>
  </si>
  <si>
    <t xml:space="preserve">Доля возвращённых билетов</t>
  </si>
  <si>
    <t xml:space="preserve">от платных</t>
  </si>
  <si>
    <t xml:space="preserve">Допущение. С запасом: в продукте сбор возвращается только при отмене события, при возврате по желанию покупателя он остаётся (ADR 019); эквайринг не возвращается.</t>
  </si>
  <si>
    <t xml:space="preserve">Юр. сопровождение запуска (разово, 1-й месяц)</t>
  </si>
  <si>
    <t xml:space="preserve">Агентский договор, оферта, проверка требований к платёжной деятельности. Допущение.</t>
  </si>
  <si>
    <t xml:space="preserve">Бухгалтерия и юрист, в месяц</t>
  </si>
  <si>
    <t xml:space="preserve">₸/мес</t>
  </si>
  <si>
    <t xml:space="preserve">Допущение: аутсорс для ИП.</t>
  </si>
  <si>
    <t xml:space="preserve">По годам</t>
  </si>
  <si>
    <t xml:space="preserve">Хостинг и сервисы, в месяц</t>
  </si>
  <si>
    <t xml:space="preserve">Допущение: VPS + управляемые PostgreSQL/Redis, рост с нагрузкой.</t>
  </si>
  <si>
    <t xml:space="preserve">Выплата основателю, в месяц</t>
  </si>
  <si>
    <t xml:space="preserve">Бизнес-решение: команда — только основатель. Суммы выплат — допущение, уточнить.</t>
  </si>
  <si>
    <t xml:space="preserve">Сценарии</t>
  </si>
  <si>
    <t xml:space="preserve">Средняя цена билета</t>
  </si>
  <si>
    <t xml:space="preserve">МСБ-сегмент дешевле крупных концертов. Ориентир: средний чек Ticketon 2021 — $11,9 ≈ 5 700 ₸ (spec.md).</t>
  </si>
  <si>
    <t xml:space="preserve">Эквайринг (от суммы оплаты)</t>
  </si>
  <si>
    <t xml:space="preserve">от оплаты</t>
  </si>
  <si>
    <t xml:space="preserve">Kaspi Pay ~1–1,5%, Halyk ePay 2,5–3% для карт других банков (finkaz.kz, halykbank.kz, 2026).</t>
  </si>
  <si>
    <t xml:space="preserve">Новых организаторов в месяц, год 1</t>
  </si>
  <si>
    <t xml:space="preserve">шт./мес</t>
  </si>
  <si>
    <t xml:space="preserve">Прямые продажи основателя + бесплатное первое событие (spec.md: первые 20–50 организаторов).</t>
  </si>
  <si>
    <t xml:space="preserve">Новых организаторов в месяц, год 2</t>
  </si>
  <si>
    <t xml:space="preserve">Рекомендации, второй город. Допущение.</t>
  </si>
  <si>
    <t xml:space="preserve">Новых организаторов в месяц, год 3</t>
  </si>
  <si>
    <t xml:space="preserve">Другие города Казахстана. Допущение.</t>
  </si>
  <si>
    <t xml:space="preserve">Отток организаторов в месяц</t>
  </si>
  <si>
    <t xml:space="preserve">от активных</t>
  </si>
  <si>
    <t xml:space="preserve">Допущение: для SaaS МСБ обычно 3–7% в месяц.</t>
  </si>
  <si>
    <t xml:space="preserve">Событий на организатора в месяц</t>
  </si>
  <si>
    <t xml:space="preserve">Стендап-клуб — еженедельно, конференция — раз в квартал; среднее. Допущение.</t>
  </si>
  <si>
    <t xml:space="preserve">Продано билетов на событие</t>
  </si>
  <si>
    <t xml:space="preserve">Малые и средние залы. Допущение.</t>
  </si>
  <si>
    <t xml:space="preserve">Стоимость привлечения организатора (CAC)</t>
  </si>
  <si>
    <t xml:space="preserve">Реклама, встречи, время на продажу, бесплатное первое событие. Допущение: для B2B-продаж МСБ дороже, чем кажется.</t>
  </si>
  <si>
    <t xml:space="preserve">Сезонность (1,0 — обычный месяц)</t>
  </si>
  <si>
    <t xml:space="preserve">янв</t>
  </si>
  <si>
    <t xml:space="preserve">фев</t>
  </si>
  <si>
    <t xml:space="preserve">мар</t>
  </si>
  <si>
    <t xml:space="preserve">апр</t>
  </si>
  <si>
    <t xml:space="preserve">май</t>
  </si>
  <si>
    <t xml:space="preserve">июн</t>
  </si>
  <si>
    <t xml:space="preserve">июл</t>
  </si>
  <si>
    <t xml:space="preserve">авг</t>
  </si>
  <si>
    <t xml:space="preserve">сен</t>
  </si>
  <si>
    <t xml:space="preserve">окт</t>
  </si>
  <si>
    <t xml:space="preserve">ноя</t>
  </si>
  <si>
    <t xml:space="preserve">дек</t>
  </si>
  <si>
    <t xml:space="preserve">Коэффициент</t>
  </si>
  <si>
    <t xml:space="preserve">Летом залы пустеют, к Новому году — пик. Допущение.</t>
  </si>
  <si>
    <t xml:space="preserve">План на 36 месяцев по трём сценариям</t>
  </si>
  <si>
    <t xml:space="preserve">Все ячейки — формулы от листа «Допущения». Суммы в тенге.</t>
  </si>
  <si>
    <t xml:space="preserve">Месяц</t>
  </si>
  <si>
    <t xml:space="preserve">Дата</t>
  </si>
  <si>
    <t xml:space="preserve">Год модели</t>
  </si>
  <si>
    <t xml:space="preserve">Сезонность</t>
  </si>
  <si>
    <t xml:space="preserve">Сценарий: Пессимистичный</t>
  </si>
  <si>
    <t xml:space="preserve">Новые организаторы</t>
  </si>
  <si>
    <t xml:space="preserve">Ушедшие организаторы</t>
  </si>
  <si>
    <t xml:space="preserve">Активные организаторы на конец месяца</t>
  </si>
  <si>
    <t xml:space="preserve">Событий с продажей билетов</t>
  </si>
  <si>
    <t xml:space="preserve">Платных билетов</t>
  </si>
  <si>
    <t xml:space="preserve">Оборот билетов организаторов (GMV)</t>
  </si>
  <si>
    <t xml:space="preserve">Выручка: сервисный сбор и комиссия</t>
  </si>
  <si>
    <t xml:space="preserve">Эквайринг</t>
  </si>
  <si>
    <t xml:space="preserve">SMS и инфраструктура на билеты</t>
  </si>
  <si>
    <t xml:space="preserve">Налог с выручки</t>
  </si>
  <si>
    <t xml:space="preserve">Маржинальная прибыль</t>
  </si>
  <si>
    <t xml:space="preserve">Привлечение организаторов (CAC × новые)</t>
  </si>
  <si>
    <t xml:space="preserve">Хостинг и сервисы</t>
  </si>
  <si>
    <t xml:space="preserve">Бухгалтерия, юрист, запуск</t>
  </si>
  <si>
    <t xml:space="preserve">Выплата основателю</t>
  </si>
  <si>
    <t xml:space="preserve">Постоянные расходы и маркетинг</t>
  </si>
  <si>
    <t xml:space="preserve">Операционная прибыль</t>
  </si>
  <si>
    <t xml:space="preserve">Накопленный денежный поток</t>
  </si>
  <si>
    <t xml:space="preserve">служебная: месяц с прибылью</t>
  </si>
  <si>
    <t xml:space="preserve">служебная: месяц с накопленным потоком ≥ 0</t>
  </si>
  <si>
    <t xml:space="preserve">Сценарий: Базовый</t>
  </si>
  <si>
    <t xml:space="preserve">Сценарий: Оптимистичный</t>
  </si>
  <si>
    <t xml:space="preserve">Почему процент с билета, а не подписка</t>
  </si>
  <si>
    <t xml:space="preserve">Объёмы базового сценария 3-го года из листа «План»; меняется только способ брать деньги. Подписку и гибрид предлагала исходная spec.md; выбран сервисный сбор (бизнес-решение 2026-10-02).</t>
  </si>
  <si>
    <t xml:space="preserve">Вводные для сравнения</t>
  </si>
  <si>
    <t xml:space="preserve">Подписка организатора, ₸ в месяц</t>
  </si>
  <si>
    <t xml:space="preserve">Альтернатива из spec.md; цена — допущение</t>
  </si>
  <si>
    <t xml:space="preserve">Гибрид: подписка, ₸ в месяц</t>
  </si>
  <si>
    <t xml:space="preserve">Гибрид: комиссия с билета</t>
  </si>
  <si>
    <t xml:space="preserve">spec.md: подписка + 1% с билета</t>
  </si>
  <si>
    <t xml:space="preserve">Доля организаторов, готовых платить подписку</t>
  </si>
  <si>
    <t xml:space="preserve">Допущение: МСБ с редкими событиями не платит каждый месяц; процент без абонплаты берут все</t>
  </si>
  <si>
    <t xml:space="preserve">Объёмы базового сценария, 3-й год</t>
  </si>
  <si>
    <t xml:space="preserve">Организаторо-месяцев</t>
  </si>
  <si>
    <t xml:space="preserve">Модель</t>
  </si>
  <si>
    <t xml:space="preserve">Выручка на организатора в месяц, ₸</t>
  </si>
  <si>
    <t xml:space="preserve">Кто платит</t>
  </si>
  <si>
    <t xml:space="preserve">Сервисный сбор 5% (выбрано)</t>
  </si>
  <si>
    <t xml:space="preserve">покупатель</t>
  </si>
  <si>
    <t xml:space="preserve">Подписка</t>
  </si>
  <si>
    <t xml:space="preserve">организатор</t>
  </si>
  <si>
    <t xml:space="preserve">Гибрид: подписка + 1%</t>
  </si>
  <si>
    <t xml:space="preserve">Точка равенства</t>
  </si>
  <si>
    <t xml:space="preserve">Платных билетов в месяц у организатора, при которых сбор = подписке</t>
  </si>
  <si>
    <t xml:space="preserve">меньше — организатору выгоднее процент (типичный МСБ), больше — подписка</t>
  </si>
  <si>
    <t xml:space="preserve">Платных билетов в месяц у организатора в базовом сценарии</t>
  </si>
  <si>
    <t xml:space="preserve">Вывод</t>
  </si>
  <si>
    <t xml:space="preserve">Сервисный сбор платит покупатель, поэтому организатору вход бесплатный — это главный аргумент для МСБ против крупных площадок, где обычно платят обе стороны (схема «10/10» у Ticketscloud: сбор с покупателя и комиссия с организатора). Подписка выгоднее только крупным организаторам с объёмом выше точки равенства, но их на старте нет, а у мелких она отсекает половину клиентов.</t>
  </si>
  <si>
    <t xml:space="preserve">Рынок снизу вверх: МСБ-организаторы Казахстана</t>
  </si>
  <si>
    <t xml:space="preserve">Все численности — допущения для проверки порядка величин, их нужно подтвердить интервью и открытыми данными.</t>
  </si>
  <si>
    <t xml:space="preserve">Сегмент</t>
  </si>
  <si>
    <t xml:space="preserve">Организаторов</t>
  </si>
  <si>
    <t xml:space="preserve">Событий в год на одного</t>
  </si>
  <si>
    <t xml:space="preserve">Билетов на событие</t>
  </si>
  <si>
    <t xml:space="preserve">Средняя цена, ₸</t>
  </si>
  <si>
    <t xml:space="preserve">Оборот в год, ₸</t>
  </si>
  <si>
    <t xml:space="preserve">Наш сбор, ₸</t>
  </si>
  <si>
    <t xml:space="preserve">Стендап и камеди-клубы</t>
  </si>
  <si>
    <t xml:space="preserve">Небольшие концерты и клубные вечера</t>
  </si>
  <si>
    <t xml:space="preserve">Независимые театры и труппы</t>
  </si>
  <si>
    <t xml:space="preserve">Платные конференции и митапы</t>
  </si>
  <si>
    <t xml:space="preserve">Локальные фестивали</t>
  </si>
  <si>
    <t xml:space="preserve">Мастер-классы, лекции, экскурсии</t>
  </si>
  <si>
    <t xml:space="preserve">Итого (доступный рынок)</t>
  </si>
  <si>
    <t xml:space="preserve">Доля рынка в 3-й год, базовый сценарий</t>
  </si>
  <si>
    <t xml:space="preserve">Активных организаторов в конце 3-го года / всего в сегменте</t>
  </si>
  <si>
    <t xml:space="preserve">Проверка порядка величин: Ticketon</t>
  </si>
  <si>
    <t xml:space="preserve">Онлайн-заказов в месяц (2021)</t>
  </si>
  <si>
    <t xml:space="preserve">spec.md: оценка 2021 — выручка $6,1 млн, 42 810 онлайн-заказов в месяц, средний чек $11,9. Курс — допущение.</t>
  </si>
  <si>
    <t xml:space="preserve">Средний чек, $</t>
  </si>
  <si>
    <t xml:space="preserve">Курс, ₸ за $</t>
  </si>
  <si>
    <t xml:space="preserve">Оборот онлайн-заказов в год, ₸</t>
  </si>
  <si>
    <t xml:space="preserve">Доступный рынок МСБ к онлайн-обороту Ticketon, раз</t>
  </si>
  <si>
    <t xml:space="preserve">Больше 1: доступный рынок — все продажи сегмента, включая кассу, Instagram и Kaspi-переводы, а не только онлайн-билеты.</t>
  </si>
  <si>
    <t xml:space="preserve">Наш оборот 3-го года (база), % от онлайн-оборота Ticketon 2021</t>
  </si>
  <si>
    <t xml:space="preserve">Риски модели и источники</t>
  </si>
  <si>
    <t xml:space="preserve">Риск</t>
  </si>
  <si>
    <t xml:space="preserve">Описание и что делать</t>
  </si>
  <si>
    <t xml:space="preserve">Приём денег за организаторов</t>
  </si>
  <si>
    <t xml:space="preserve">Если оплата за билеты проходит через нас и потом выплачивается организатору, это может требовать регистрации платёжной организации в Нацбанке РК (Закон «О платежах и платёжных системах»). Альтернатива — сплит-платёж эквайера (деньги сразу делятся между организатором и нами); в MVP сплит-платежи исключены (CLAUDE.md). Проверить с юристом до запуска.</t>
  </si>
  <si>
    <t xml:space="preserve">Налоговая база</t>
  </si>
  <si>
    <t xml:space="preserve">Налог 4% считается только с нашего сбора при агентской схеме (договор с организатором, мы — агент). Без неё налоговой базой может считаться весь оборот билетов — модель тогда неверна.</t>
  </si>
  <si>
    <t xml:space="preserve">Ставка сбора</t>
  </si>
  <si>
    <t xml:space="preserve">При 5% базовый сценарий за три года не окупается: маржа с билета около 120 ₸, а эквайринг берётся со всей суммы оплаты и от ставки не зависит. Окупаемость за три года даёт ставка около 7%. Ставка — настройка продукта (SERVICE_FEE_BPS), её можно менять без кода; старые заказы сохраняют свой сбор.</t>
  </si>
  <si>
    <t xml:space="preserve">Численности рынка</t>
  </si>
  <si>
    <t xml:space="preserve">Число организаторов по сегментам — допущения; нужны интервью с 10–20 организаторами.</t>
  </si>
  <si>
    <t xml:space="preserve">Конкуренты</t>
  </si>
  <si>
    <t xml:space="preserve">Ticketon и kino.kz могут снизить сбор для МСБ; наш ответ — бесплатный вход и своя схема зала.</t>
  </si>
  <si>
    <t xml:space="preserve">Источники</t>
  </si>
  <si>
    <t xml:space="preserve">Сервисный сбор ~10%, «10/10»</t>
  </si>
  <si>
    <t xml:space="preserve">https://support.ticketscloud.com/ (инструкция для организаторов, условия сделок)</t>
  </si>
  <si>
    <t xml:space="preserve">Эквайринг Kaspi Pay</t>
  </si>
  <si>
    <t xml:space="preserve">https://guide.kaspi.kz/partner/ru/account/opening/q258</t>
  </si>
  <si>
    <t xml:space="preserve">Эквайринг Halyk ePay</t>
  </si>
  <si>
    <t xml:space="preserve">https://halykbank.kz/en/business/payment/epay</t>
  </si>
  <si>
    <t xml:space="preserve">Сравнение эквайринга, 2026</t>
  </si>
  <si>
    <t xml:space="preserve">https://finkaz.kz/acquiring</t>
  </si>
  <si>
    <t xml:space="preserve">Упрощённый режим 4% с 2026</t>
  </si>
  <si>
    <t xml:space="preserve">https://digitalbusiness.kz/2025-08-07/uznali-kogda-objyavyat-stavki-po-novoy-uproshchenke-na-2026-god/</t>
  </si>
  <si>
    <t xml:space="preserve">Ticketon, ориентир 2021</t>
  </si>
  <si>
    <t xml:space="preserve">docs/spec.md, раздел «Бизнес-модель»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</si>
</sst>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;\(#,##0.0\);\-"/>
    <numFmt numFmtId="166" formatCode="#,##0;\(#,##0\);\-"/>
    <numFmt numFmtId="167" formatCode="0"/>
    <numFmt numFmtId="168" formatCode="0.0\x"/>
    <numFmt numFmtId="169" formatCode="#,##0"/>
    <numFmt numFmtId="170" formatCode="0.0%;\(0.0%\);\-"/>
    <numFmt numFmtId="171" formatCode="mmm\ yyyy"/>
    <numFmt numFmtId="172" formatCode="0.00"/>
    <numFmt numFmtId="173" formatCode="mmm\ yy"/>
    <numFmt numFmtId="174" formatCode="General"/>
    <numFmt numFmtId="175" formatCode="0.0"/>
    <numFmt numFmtId="176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DEBE6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B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3494B"/>
      <rgbColor rgb="FF666666"/>
      <rgbColor rgb="FF999999"/>
      <rgbColor rgb="FF003366"/>
      <rgbColor rgb="FF1BAF7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Накопленный денежный поток, 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"Пессимистичный"</c:f>
              <c:strCache>
                <c:ptCount val="1"/>
                <c:pt idx="0">
                  <c:v>Пессимистичный</c:v>
                </c:pt>
              </c:strCache>
            </c:strRef>
          </c:tx>
          <c:spPr>
            <a:solidFill>
              <a:srgbClr val="e3494b"/>
            </a:solidFill>
            <a:ln w="21960">
              <a:solidFill>
                <a:srgbClr val="e349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План!$C$4:$AL$4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План!$C$28:$AL$28</c:f>
              <c:numCache>
                <c:formatCode>#,##0;\(#,##0\);\-</c:formatCode>
                <c:ptCount val="36"/>
                <c:pt idx="0">
                  <c:v>-1191749.34</c:v>
                </c:pt>
                <c:pt idx="1">
                  <c:v>-1579744.6297</c:v>
                </c:pt>
                <c:pt idx="2">
                  <c:v>-1962272.207018</c:v>
                </c:pt>
                <c:pt idx="3">
                  <c:v>-2324585.4198162</c:v>
                </c:pt>
                <c:pt idx="4">
                  <c:v>-2674272.62434954</c:v>
                </c:pt>
                <c:pt idx="5">
                  <c:v>-3010303.14954373</c:v>
                </c:pt>
                <c:pt idx="6">
                  <c:v>-3331753.57853314</c:v>
                </c:pt>
                <c:pt idx="7">
                  <c:v>-3678065.01284086</c:v>
                </c:pt>
                <c:pt idx="8">
                  <c:v>-4012007.36212128</c:v>
                </c:pt>
                <c:pt idx="9">
                  <c:v>-4332700.49081416</c:v>
                </c:pt>
                <c:pt idx="10">
                  <c:v>-4647838.70678547</c:v>
                </c:pt>
                <c:pt idx="11">
                  <c:v>-4957755.3047985</c:v>
                </c:pt>
                <c:pt idx="12">
                  <c:v>-5933511.26650429</c:v>
                </c:pt>
                <c:pt idx="13">
                  <c:v>-6921743.22950688</c:v>
                </c:pt>
                <c:pt idx="14">
                  <c:v>-7901905.28472931</c:v>
                </c:pt>
                <c:pt idx="15">
                  <c:v>-8816199.18791112</c:v>
                </c:pt>
                <c:pt idx="16">
                  <c:v>-9702849.76880112</c:v>
                </c:pt>
                <c:pt idx="17">
                  <c:v>-10560335.8390229</c:v>
                </c:pt>
                <c:pt idx="18">
                  <c:v>-11387294.5088653</c:v>
                </c:pt>
                <c:pt idx="19">
                  <c:v>-12295987.7424973</c:v>
                </c:pt>
                <c:pt idx="20">
                  <c:v>-13177416.8520631</c:v>
                </c:pt>
                <c:pt idx="21">
                  <c:v>-14030282.8276096</c:v>
                </c:pt>
                <c:pt idx="22">
                  <c:v>-14874950.1946233</c:v>
                </c:pt>
                <c:pt idx="23">
                  <c:v>-15711910.8696161</c:v>
                </c:pt>
                <c:pt idx="24">
                  <c:v>-17062183.5372108</c:v>
                </c:pt>
                <c:pt idx="25">
                  <c:v>-18451924.447865</c:v>
                </c:pt>
                <c:pt idx="26">
                  <c:v>-19834179.58388</c:v>
                </c:pt>
                <c:pt idx="27">
                  <c:v>-21099543.7636368</c:v>
                </c:pt>
                <c:pt idx="28">
                  <c:v>-22325317.9055053</c:v>
                </c:pt>
                <c:pt idx="29">
                  <c:v>-23510090.930985</c:v>
                </c:pt>
                <c:pt idx="30">
                  <c:v>-24652598.6019318</c:v>
                </c:pt>
                <c:pt idx="31">
                  <c:v>-25940662.8177411</c:v>
                </c:pt>
                <c:pt idx="32">
                  <c:v>-27189488.7459594</c:v>
                </c:pt>
                <c:pt idx="33">
                  <c:v>-28397871.4043207</c:v>
                </c:pt>
                <c:pt idx="34">
                  <c:v>-29598648.9031803</c:v>
                </c:pt>
                <c:pt idx="35">
                  <c:v>-30792277.5521084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"Базовый"</c:f>
              <c:strCache>
                <c:ptCount val="1"/>
                <c:pt idx="0">
                  <c:v>Базовый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План!$C$4:$AL$4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План!$C$52:$AL$52</c:f>
              <c:numCache>
                <c:formatCode>#,##0;\(#,##0\);\-</c:formatCode>
                <c:ptCount val="36"/>
                <c:pt idx="0">
                  <c:v>-1311025.9968</c:v>
                </c:pt>
                <c:pt idx="1">
                  <c:v>-1803880.364608</c:v>
                </c:pt>
                <c:pt idx="2">
                  <c:v>-2270075.78346464</c:v>
                </c:pt>
                <c:pt idx="3">
                  <c:v>-2637969.32114479</c:v>
                </c:pt>
                <c:pt idx="4">
                  <c:v>-2943077.22807779</c:v>
                </c:pt>
                <c:pt idx="5">
                  <c:v>-3179483.18813708</c:v>
                </c:pt>
                <c:pt idx="6">
                  <c:v>-3341711.26578175</c:v>
                </c:pt>
                <c:pt idx="7">
                  <c:v>-3624846.68667447</c:v>
                </c:pt>
                <c:pt idx="8">
                  <c:v>-3844288.30089608</c:v>
                </c:pt>
                <c:pt idx="9">
                  <c:v>-3994811.62087568</c:v>
                </c:pt>
                <c:pt idx="10">
                  <c:v>-4114593.88745619</c:v>
                </c:pt>
                <c:pt idx="11">
                  <c:v>-4205018.44804059</c:v>
                </c:pt>
                <c:pt idx="12">
                  <c:v>-4998946.14032706</c:v>
                </c:pt>
                <c:pt idx="13">
                  <c:v>-5862216.84592725</c:v>
                </c:pt>
                <c:pt idx="14">
                  <c:v>-6692372.86577543</c:v>
                </c:pt>
                <c:pt idx="15">
                  <c:v>-7216592.02403379</c:v>
                </c:pt>
                <c:pt idx="16">
                  <c:v>-7616863.82578419</c:v>
                </c:pt>
                <c:pt idx="17">
                  <c:v>-7885839.25851687</c:v>
                </c:pt>
                <c:pt idx="18">
                  <c:v>-8016716.3329649</c:v>
                </c:pt>
                <c:pt idx="19">
                  <c:v>-8527567.41856359</c:v>
                </c:pt>
                <c:pt idx="20">
                  <c:v>-8913343.04765368</c:v>
                </c:pt>
                <c:pt idx="21">
                  <c:v>-9167553.56963261</c:v>
                </c:pt>
                <c:pt idx="22">
                  <c:v>-9383578.77812249</c:v>
                </c:pt>
                <c:pt idx="23">
                  <c:v>-9563137.01223032</c:v>
                </c:pt>
                <c:pt idx="24">
                  <c:v>-10474940.1622887</c:v>
                </c:pt>
                <c:pt idx="25">
                  <c:v>-11567727.162918</c:v>
                </c:pt>
                <c:pt idx="26">
                  <c:v>-12623684.242919</c:v>
                </c:pt>
                <c:pt idx="27">
                  <c:v>-13131658.4192539</c:v>
                </c:pt>
                <c:pt idx="28">
                  <c:v>-13449848.6978938</c:v>
                </c:pt>
                <c:pt idx="29">
                  <c:v>-13570081.558804</c:v>
                </c:pt>
                <c:pt idx="30">
                  <c:v>-13484791.877354</c:v>
                </c:pt>
                <c:pt idx="31">
                  <c:v>-14081759.2160711</c:v>
                </c:pt>
                <c:pt idx="32">
                  <c:v>-14487687.9922053</c:v>
                </c:pt>
                <c:pt idx="33">
                  <c:v>-14695360.4619922</c:v>
                </c:pt>
                <c:pt idx="34">
                  <c:v>-14860563.4946386</c:v>
                </c:pt>
                <c:pt idx="35">
                  <c:v>-14985208.2148159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"Оптимистичный"</c:f>
              <c:strCache>
                <c:ptCount val="1"/>
                <c:pt idx="0">
                  <c:v>Оптимистичный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План!$C$4:$AL$4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План!$C$76:$AL$76</c:f>
              <c:numCache>
                <c:formatCode>#,##0;\(#,##0\);\-</c:formatCode>
                <c:ptCount val="36"/>
                <c:pt idx="0">
                  <c:v>-1238807.3</c:v>
                </c:pt>
                <c:pt idx="1">
                  <c:v>-1601249.558375</c:v>
                </c:pt>
                <c:pt idx="2">
                  <c:v>-1851111.81270688</c:v>
                </c:pt>
                <c:pt idx="3">
                  <c:v>-1686482.73009064</c:v>
                </c:pt>
                <c:pt idx="4">
                  <c:v>-1253188.99639351</c:v>
                </c:pt>
                <c:pt idx="5">
                  <c:v>-523623.452192344</c:v>
                </c:pt>
                <c:pt idx="6">
                  <c:v>528264.66464129</c:v>
                </c:pt>
                <c:pt idx="7">
                  <c:v>1070424.76940711</c:v>
                </c:pt>
                <c:pt idx="8">
                  <c:v>1891724.1206435</c:v>
                </c:pt>
                <c:pt idx="9">
                  <c:v>3017163.74446919</c:v>
                </c:pt>
                <c:pt idx="10">
                  <c:v>4283703.85646098</c:v>
                </c:pt>
                <c:pt idx="11">
                  <c:v>5686405.93953305</c:v>
                </c:pt>
                <c:pt idx="12">
                  <c:v>6230400.2676647</c:v>
                </c:pt>
                <c:pt idx="13">
                  <c:v>6469472.40264997</c:v>
                </c:pt>
                <c:pt idx="14">
                  <c:v>6849508.25291076</c:v>
                </c:pt>
                <c:pt idx="15">
                  <c:v>8549617.97874687</c:v>
                </c:pt>
                <c:pt idx="16">
                  <c:v>10786398.3927219</c:v>
                </c:pt>
                <c:pt idx="17">
                  <c:v>13594416.981252</c:v>
                </c:pt>
                <c:pt idx="18">
                  <c:v>17006292.4340111</c:v>
                </c:pt>
                <c:pt idx="19">
                  <c:v>18778576.0228804</c:v>
                </c:pt>
                <c:pt idx="20">
                  <c:v>21100645.7540466</c:v>
                </c:pt>
                <c:pt idx="21">
                  <c:v>24003805.9213526</c:v>
                </c:pt>
                <c:pt idx="22">
                  <c:v>27083640.8828029</c:v>
                </c:pt>
                <c:pt idx="23">
                  <c:v>30333967.0206024</c:v>
                </c:pt>
                <c:pt idx="24">
                  <c:v>32330562.7389836</c:v>
                </c:pt>
                <c:pt idx="25">
                  <c:v>33533266.8451621</c:v>
                </c:pt>
                <c:pt idx="26">
                  <c:v>34895444.2626242</c:v>
                </c:pt>
                <c:pt idx="27">
                  <c:v>38648892.8673759</c:v>
                </c:pt>
                <c:pt idx="28">
                  <c:v>43233946.4788198</c:v>
                </c:pt>
                <c:pt idx="29">
                  <c:v>48689711.5543216</c:v>
                </c:pt>
                <c:pt idx="30">
                  <c:v>55053089.8628358</c:v>
                </c:pt>
                <c:pt idx="31">
                  <c:v>58439258.459892</c:v>
                </c:pt>
                <c:pt idx="32">
                  <c:v>62671869.675571</c:v>
                </c:pt>
                <c:pt idx="33">
                  <c:v>67786338.292938</c:v>
                </c:pt>
                <c:pt idx="34">
                  <c:v>73100680.4336972</c:v>
                </c:pt>
                <c:pt idx="35">
                  <c:v>78607900.5245298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611281"/>
        <c:axId val="67006473"/>
      </c:lineChart>
      <c:catAx>
        <c:axId val="476112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Месяц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006473"/>
        <c:crosses val="autoZero"/>
        <c:auto val="1"/>
        <c:lblAlgn val="ctr"/>
        <c:lblOffset val="100"/>
        <c:noMultiLvlLbl val="0"/>
      </c:catAx>
      <c:valAx>
        <c:axId val="670064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112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160920</xdr:rowOff>
    </xdr:from>
    <xdr:to>
      <xdr:col>3</xdr:col>
      <xdr:colOff>460800</xdr:colOff>
      <xdr:row>38</xdr:row>
      <xdr:rowOff>162000</xdr:rowOff>
    </xdr:to>
    <xdr:graphicFrame>
      <xdr:nvGraphicFramePr>
        <xdr:cNvPr id="0" name="Chart 1"/>
        <xdr:cNvGraphicFramePr/>
      </xdr:nvGraphicFramePr>
      <xdr:xfrm>
        <a:off x="0" y="419112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0" min="2" style="0" width="15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4" t="s">
        <v>2</v>
      </c>
      <c r="C3" s="2"/>
      <c r="D3" s="2"/>
      <c r="E3" s="4" t="s">
        <v>3</v>
      </c>
      <c r="F3" s="2"/>
      <c r="G3" s="2"/>
      <c r="H3" s="4" t="s">
        <v>4</v>
      </c>
      <c r="I3" s="2"/>
      <c r="J3" s="2"/>
    </row>
    <row r="4" customFormat="false" ht="15" hidden="false" customHeight="false" outlineLevel="0" collapsed="false">
      <c r="A4" s="5" t="s">
        <v>5</v>
      </c>
      <c r="B4" s="5" t="s">
        <v>6</v>
      </c>
      <c r="C4" s="5" t="s">
        <v>7</v>
      </c>
      <c r="D4" s="5" t="s">
        <v>8</v>
      </c>
      <c r="E4" s="5" t="s">
        <v>6</v>
      </c>
      <c r="F4" s="5" t="s">
        <v>7</v>
      </c>
      <c r="G4" s="5" t="s">
        <v>8</v>
      </c>
      <c r="H4" s="5" t="s">
        <v>6</v>
      </c>
      <c r="I4" s="5" t="s">
        <v>7</v>
      </c>
      <c r="J4" s="5" t="s">
        <v>8</v>
      </c>
    </row>
    <row r="5" customFormat="false" ht="15" hidden="false" customHeight="false" outlineLevel="0" collapsed="false">
      <c r="A5" s="6" t="s">
        <v>9</v>
      </c>
      <c r="B5" s="7" t="n">
        <f aca="false">План!N12</f>
        <v>13.1019921296437</v>
      </c>
      <c r="C5" s="7" t="n">
        <f aca="false">План!Z12</f>
        <v>32.4394884783212</v>
      </c>
      <c r="D5" s="7" t="n">
        <f aca="false">План!AL12</f>
        <v>50.3772572480658</v>
      </c>
      <c r="E5" s="7" t="n">
        <f aca="false">План!N36</f>
        <v>28.3004301338349</v>
      </c>
      <c r="F5" s="7" t="n">
        <f aca="false">План!Z36</f>
        <v>63.4540985038253</v>
      </c>
      <c r="G5" s="7" t="n">
        <f aca="false">План!AL36</f>
        <v>102.551761261579</v>
      </c>
      <c r="H5" s="7" t="n">
        <f aca="false">План!N60</f>
        <v>49.6970913216808</v>
      </c>
      <c r="I5" s="7" t="n">
        <f aca="false">План!Z60</f>
        <v>111.923831235522</v>
      </c>
      <c r="J5" s="7" t="n">
        <f aca="false">План!AL60</f>
        <v>182.321410109331</v>
      </c>
    </row>
    <row r="6" customFormat="false" ht="15" hidden="false" customHeight="false" outlineLevel="0" collapsed="false">
      <c r="A6" s="6" t="s">
        <v>10</v>
      </c>
      <c r="B6" s="8" t="n">
        <f aca="false">SUM(План!$C$14:$N$14)</f>
        <v>8406.89436745213</v>
      </c>
      <c r="C6" s="8" t="n">
        <f aca="false">SUM(План!$O$14:$Z$14)</f>
        <v>25732.6321772677</v>
      </c>
      <c r="D6" s="8" t="n">
        <f aca="false">SUM(План!$AA$14:$AL$14)</f>
        <v>44500.7306434679</v>
      </c>
      <c r="E6" s="8" t="n">
        <f aca="false">SUM(План!$C$38:$N$38)</f>
        <v>25970.3923783929</v>
      </c>
      <c r="F6" s="8" t="n">
        <f aca="false">SUM(План!$O$38:$Z$38)</f>
        <v>74472.3097591549</v>
      </c>
      <c r="G6" s="8" t="n">
        <f aca="false">SUM(План!$AA$38:$AL$38)</f>
        <v>130526.798002133</v>
      </c>
      <c r="H6" s="8" t="n">
        <f aca="false">SUM(План!$C$62:$N$62)</f>
        <v>76416.3969310009</v>
      </c>
      <c r="I6" s="8" t="n">
        <f aca="false">SUM(План!$O$62:$Z$62)</f>
        <v>222037.381177699</v>
      </c>
      <c r="J6" s="8" t="n">
        <f aca="false">SUM(План!$AA$62:$AL$62)</f>
        <v>392812.702768392</v>
      </c>
    </row>
    <row r="7" customFormat="false" ht="15" hidden="false" customHeight="false" outlineLevel="0" collapsed="false">
      <c r="A7" s="6" t="s">
        <v>11</v>
      </c>
      <c r="B7" s="8" t="n">
        <f aca="false">SUM(План!$C$16:$N$16)</f>
        <v>37831024.6535346</v>
      </c>
      <c r="C7" s="8" t="n">
        <f aca="false">SUM(План!$O$16:$Z$16)</f>
        <v>115796844.797705</v>
      </c>
      <c r="D7" s="8" t="n">
        <f aca="false">SUM(План!$AA$16:$AL$16)</f>
        <v>200253287.895606</v>
      </c>
      <c r="E7" s="8" t="n">
        <f aca="false">SUM(План!$C$40:$N$40)</f>
        <v>140240118.843322</v>
      </c>
      <c r="F7" s="8" t="n">
        <f aca="false">SUM(План!$O$40:$Z$40)</f>
        <v>402150472.699436</v>
      </c>
      <c r="G7" s="8" t="n">
        <f aca="false">SUM(План!$AA$40:$AL$40)</f>
        <v>704844709.211518</v>
      </c>
      <c r="H7" s="8" t="n">
        <f aca="false">SUM(План!$C$64:$N$64)</f>
        <v>481423300.665306</v>
      </c>
      <c r="I7" s="8" t="n">
        <f aca="false">SUM(План!$O$64:$Z$64)</f>
        <v>1398835501.4195</v>
      </c>
      <c r="J7" s="8" t="n">
        <f aca="false">SUM(План!$AA$64:$AL$64)</f>
        <v>2474720027.44087</v>
      </c>
    </row>
    <row r="8" customFormat="false" ht="15" hidden="false" customHeight="false" outlineLevel="0" collapsed="false">
      <c r="A8" s="6" t="s">
        <v>12</v>
      </c>
      <c r="B8" s="8" t="n">
        <f aca="false">SUM(План!$C$17:$N$17)</f>
        <v>1834804.69569643</v>
      </c>
      <c r="C8" s="8" t="n">
        <f aca="false">SUM(План!$O$17:$Z$17)</f>
        <v>5616146.97268868</v>
      </c>
      <c r="D8" s="8" t="n">
        <f aca="false">SUM(План!$AA$17:$AL$17)</f>
        <v>9712284.46293688</v>
      </c>
      <c r="E8" s="8" t="n">
        <f aca="false">SUM(План!$C$41:$N$41)</f>
        <v>6801645.76390111</v>
      </c>
      <c r="F8" s="8" t="n">
        <f aca="false">SUM(План!$O$41:$Z$41)</f>
        <v>19504297.9259227</v>
      </c>
      <c r="G8" s="8" t="n">
        <f aca="false">SUM(План!$AA$41:$AL$41)</f>
        <v>34184968.3967586</v>
      </c>
      <c r="H8" s="8" t="n">
        <f aca="false">SUM(План!$C$65:$N$65)</f>
        <v>23349030.0822673</v>
      </c>
      <c r="I8" s="8" t="n">
        <f aca="false">SUM(План!$O$65:$Z$65)</f>
        <v>67843521.8188458</v>
      </c>
      <c r="J8" s="8" t="n">
        <f aca="false">SUM(План!$AA$65:$AL$65)</f>
        <v>120023921.330882</v>
      </c>
    </row>
    <row r="9" customFormat="false" ht="15" hidden="false" customHeight="false" outlineLevel="0" collapsed="false">
      <c r="A9" s="6" t="s">
        <v>13</v>
      </c>
      <c r="B9" s="8" t="n">
        <f aca="false">SUM(План!$C$21:$N$21)</f>
        <v>642244.695201505</v>
      </c>
      <c r="C9" s="8" t="n">
        <f aca="false">SUM(План!$O$21:$Z$21)</f>
        <v>1965844.43518237</v>
      </c>
      <c r="D9" s="8" t="n">
        <f aca="false">SUM(План!$AA$21:$AL$21)</f>
        <v>3399633.31750773</v>
      </c>
      <c r="E9" s="8" t="n">
        <f aca="false">SUM(План!$C$45:$N$45)</f>
        <v>3194981.55195941</v>
      </c>
      <c r="F9" s="8" t="n">
        <f aca="false">SUM(План!$O$45:$Z$45)</f>
        <v>9161881.43581027</v>
      </c>
      <c r="G9" s="8" t="n">
        <f aca="false">SUM(План!$AA$45:$AL$45)</f>
        <v>16057928.7974144</v>
      </c>
      <c r="H9" s="8" t="n">
        <f aca="false">SUM(План!$C$69:$N$69)</f>
        <v>13686405.9395331</v>
      </c>
      <c r="I9" s="8" t="n">
        <f aca="false">SUM(План!$O$69:$Z$69)</f>
        <v>39767561.0810694</v>
      </c>
      <c r="J9" s="8" t="n">
        <f aca="false">SUM(План!$AA$69:$AL$69)</f>
        <v>70353933.5039274</v>
      </c>
    </row>
    <row r="10" customFormat="false" ht="15" hidden="false" customHeight="false" outlineLevel="0" collapsed="false">
      <c r="A10" s="6" t="s">
        <v>14</v>
      </c>
      <c r="B10" s="8" t="n">
        <f aca="false">SUM(План!$C$26:$N$26)</f>
        <v>5600000</v>
      </c>
      <c r="C10" s="8" t="n">
        <f aca="false">SUM(План!$O$26:$Z$26)</f>
        <v>12720000</v>
      </c>
      <c r="D10" s="8" t="n">
        <f aca="false">SUM(План!$AA$26:$AL$26)</f>
        <v>18480000</v>
      </c>
      <c r="E10" s="8" t="n">
        <f aca="false">SUM(План!$C$50:$N$50)</f>
        <v>7400000</v>
      </c>
      <c r="F10" s="8" t="n">
        <f aca="false">SUM(План!$O$50:$Z$50)</f>
        <v>14520000</v>
      </c>
      <c r="G10" s="8" t="n">
        <f aca="false">SUM(План!$AA$50:$AL$50)</f>
        <v>21480000</v>
      </c>
      <c r="H10" s="8" t="n">
        <f aca="false">SUM(План!$C$74:$N$74)</f>
        <v>8000000</v>
      </c>
      <c r="I10" s="8" t="n">
        <f aca="false">SUM(План!$O$74:$Z$74)</f>
        <v>15120000</v>
      </c>
      <c r="J10" s="8" t="n">
        <f aca="false">SUM(План!$AA$74:$AL$74)</f>
        <v>22080000</v>
      </c>
    </row>
    <row r="11" customFormat="false" ht="15" hidden="false" customHeight="false" outlineLevel="0" collapsed="false">
      <c r="A11" s="4" t="s">
        <v>15</v>
      </c>
      <c r="B11" s="8" t="n">
        <f aca="false">SUM(План!$C$27:$N$27)</f>
        <v>-4957755.3047985</v>
      </c>
      <c r="C11" s="8" t="n">
        <f aca="false">SUM(План!$O$27:$Z$27)</f>
        <v>-10754155.5648176</v>
      </c>
      <c r="D11" s="8" t="n">
        <f aca="false">SUM(План!$AA$27:$AL$27)</f>
        <v>-15080366.6824923</v>
      </c>
      <c r="E11" s="8" t="n">
        <f aca="false">SUM(План!$C$51:$N$51)</f>
        <v>-4205018.44804059</v>
      </c>
      <c r="F11" s="8" t="n">
        <f aca="false">SUM(План!$O$51:$Z$51)</f>
        <v>-5358118.56418973</v>
      </c>
      <c r="G11" s="8" t="n">
        <f aca="false">SUM(План!$AA$51:$AL$51)</f>
        <v>-5422071.2025856</v>
      </c>
      <c r="H11" s="8" t="n">
        <f aca="false">SUM(План!$C$75:$N$75)</f>
        <v>5686405.93953305</v>
      </c>
      <c r="I11" s="8" t="n">
        <f aca="false">SUM(План!$O$75:$Z$75)</f>
        <v>24647561.0810694</v>
      </c>
      <c r="J11" s="8" t="n">
        <f aca="false">SUM(План!$AA$75:$AL$75)</f>
        <v>48273933.5039274</v>
      </c>
    </row>
    <row r="12" customFormat="false" ht="15" hidden="false" customHeight="false" outlineLevel="0" collapsed="false">
      <c r="A12" s="4" t="s">
        <v>16</v>
      </c>
      <c r="B12" s="8" t="n">
        <f aca="false">План!N28</f>
        <v>-4957755.3047985</v>
      </c>
      <c r="C12" s="8" t="n">
        <f aca="false">План!Z28</f>
        <v>-15711910.8696161</v>
      </c>
      <c r="D12" s="8" t="n">
        <f aca="false">План!AL28</f>
        <v>-30792277.5521084</v>
      </c>
      <c r="E12" s="8" t="n">
        <f aca="false">План!N52</f>
        <v>-4205018.44804059</v>
      </c>
      <c r="F12" s="8" t="n">
        <f aca="false">План!Z52</f>
        <v>-9563137.01223032</v>
      </c>
      <c r="G12" s="8" t="n">
        <f aca="false">План!AL52</f>
        <v>-14985208.2148159</v>
      </c>
      <c r="H12" s="8" t="n">
        <f aca="false">План!N76</f>
        <v>5686405.93953305</v>
      </c>
      <c r="I12" s="8" t="n">
        <f aca="false">План!Z76</f>
        <v>30333967.0206024</v>
      </c>
      <c r="J12" s="8" t="n">
        <f aca="false">План!AL76</f>
        <v>78607900.5245298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4" t="s">
        <v>17</v>
      </c>
      <c r="B14" s="4" t="s">
        <v>2</v>
      </c>
      <c r="C14" s="2"/>
      <c r="D14" s="2"/>
      <c r="E14" s="4" t="s">
        <v>3</v>
      </c>
      <c r="F14" s="2"/>
      <c r="G14" s="2"/>
      <c r="H14" s="4" t="s">
        <v>4</v>
      </c>
      <c r="I14" s="2"/>
      <c r="J14" s="2"/>
    </row>
    <row r="15" customFormat="false" ht="15" hidden="false" customHeight="false" outlineLevel="0" collapsed="false">
      <c r="A15" s="2" t="s">
        <v>18</v>
      </c>
      <c r="B15" s="9" t="str">
        <f aca="false">IF(COUNT(План!$C$29:$AL$29)=0,"не достигнут",MIN(План!$C$29:$AL$29))</f>
        <v>не достигнут</v>
      </c>
      <c r="C15" s="2"/>
      <c r="D15" s="2"/>
      <c r="E15" s="9" t="n">
        <f aca="false">IF(COUNT(План!$C$53:$AL$53)=0,"не достигнут",MIN(План!$C$53:$AL$53))</f>
        <v>31</v>
      </c>
      <c r="F15" s="2"/>
      <c r="G15" s="2"/>
      <c r="H15" s="9" t="n">
        <f aca="false">IF(COUNT(План!$C$77:$AL$77)=0,"не достигнут",MIN(План!$C$77:$AL$77))</f>
        <v>4</v>
      </c>
      <c r="I15" s="2"/>
      <c r="J15" s="2"/>
    </row>
    <row r="16" customFormat="false" ht="15" hidden="false" customHeight="false" outlineLevel="0" collapsed="false">
      <c r="A16" s="2" t="s">
        <v>19</v>
      </c>
      <c r="B16" s="9" t="str">
        <f aca="false">IF(COUNT(План!$C$30:$AL$30)=0,"за 3 года нет",MIN(План!$C$30:$AL$30))</f>
        <v>за 3 года нет</v>
      </c>
      <c r="C16" s="2"/>
      <c r="D16" s="2"/>
      <c r="E16" s="9" t="str">
        <f aca="false">IF(COUNT(План!$C$54:$AL$54)=0,"за 3 года нет",MIN(План!$C$54:$AL$54))</f>
        <v>за 3 года нет</v>
      </c>
      <c r="F16" s="2"/>
      <c r="G16" s="2"/>
      <c r="H16" s="9" t="n">
        <f aca="false">IF(COUNT(План!$C$78:$AL$78)=0,"за 3 года нет",MIN(План!$C$78:$AL$78))</f>
        <v>7</v>
      </c>
      <c r="I16" s="2"/>
      <c r="J16" s="2"/>
    </row>
    <row r="17" customFormat="false" ht="15" hidden="false" customHeight="false" outlineLevel="0" collapsed="false">
      <c r="A17" s="2" t="s">
        <v>20</v>
      </c>
      <c r="B17" s="10" t="n">
        <f aca="false">-MIN(0,MIN(План!$C$28:$AL$28))</f>
        <v>30792277.5521084</v>
      </c>
      <c r="C17" s="2"/>
      <c r="D17" s="2"/>
      <c r="E17" s="10" t="n">
        <f aca="false">-MIN(0,MIN(План!$C$52:$AL$52))</f>
        <v>14985208.2148159</v>
      </c>
      <c r="F17" s="2"/>
      <c r="G17" s="2"/>
      <c r="H17" s="10" t="n">
        <f aca="false">-MIN(0,MIN(План!$C$76:$AL$76))</f>
        <v>1851111.81270688</v>
      </c>
      <c r="I17" s="2"/>
      <c r="J17" s="2"/>
    </row>
    <row r="18" customFormat="false" ht="15" hidden="false" customHeight="false" outlineLevel="0" collapsed="false">
      <c r="A18" s="2" t="s">
        <v>21</v>
      </c>
      <c r="B18" s="10" t="n">
        <f aca="false">SUM(План!$C$17:$AL$17)</f>
        <v>17163236.131322</v>
      </c>
      <c r="C18" s="2"/>
      <c r="D18" s="2"/>
      <c r="E18" s="10" t="n">
        <f aca="false">SUM(План!$C$41:$AL$41)</f>
        <v>60490912.0865824</v>
      </c>
      <c r="F18" s="2"/>
      <c r="G18" s="2"/>
      <c r="H18" s="10" t="n">
        <f aca="false">SUM(План!$C$65:$AL$65)</f>
        <v>211216473.231995</v>
      </c>
      <c r="I18" s="2"/>
      <c r="J18" s="2"/>
    </row>
    <row r="19" customFormat="false" ht="15" hidden="false" customHeight="false" outlineLevel="0" collapsed="false">
      <c r="A19" s="2" t="s">
        <v>22</v>
      </c>
      <c r="B19" s="10" t="n">
        <f aca="false">SUM(План!$C$27:$AL$27)</f>
        <v>-30792277.5521084</v>
      </c>
      <c r="C19" s="2"/>
      <c r="D19" s="2"/>
      <c r="E19" s="10" t="n">
        <f aca="false">SUM(План!$C$51:$AL$51)</f>
        <v>-14985208.2148159</v>
      </c>
      <c r="F19" s="2"/>
      <c r="G19" s="2"/>
      <c r="H19" s="10" t="n">
        <f aca="false">SUM(План!$C$75:$AL$75)</f>
        <v>78607900.5245298</v>
      </c>
      <c r="I19" s="2"/>
      <c r="J19" s="2"/>
    </row>
    <row r="20" customFormat="false" ht="15" hidden="false" customHeight="false" outlineLevel="0" collapsed="false">
      <c r="A20" s="2" t="s">
        <v>23</v>
      </c>
      <c r="B20" s="11" t="n">
        <f aca="false">'Юнит-экономика'!C21</f>
        <v>0.5395396875</v>
      </c>
      <c r="C20" s="2"/>
      <c r="D20" s="2"/>
      <c r="E20" s="11" t="n">
        <f aca="false">'Юнит-экономика'!D21</f>
        <v>2.26546417777778</v>
      </c>
      <c r="F20" s="2"/>
      <c r="G20" s="2"/>
      <c r="H20" s="11" t="n">
        <f aca="false">'Юнит-экономика'!E21</f>
        <v>10.8421280357143</v>
      </c>
      <c r="I20" s="2"/>
      <c r="J2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8"/>
    <col collapsed="false" customWidth="true" hidden="false" outlineLevel="0" max="5" min="3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24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25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2"/>
      <c r="B4" s="5" t="s">
        <v>26</v>
      </c>
      <c r="C4" s="5" t="s">
        <v>2</v>
      </c>
      <c r="D4" s="5" t="s">
        <v>3</v>
      </c>
      <c r="E4" s="5" t="s">
        <v>4</v>
      </c>
      <c r="F4" s="2"/>
    </row>
    <row r="5" customFormat="false" ht="15" hidden="false" customHeight="false" outlineLevel="0" collapsed="false">
      <c r="A5" s="2"/>
      <c r="B5" s="6" t="s">
        <v>27</v>
      </c>
      <c r="C5" s="8" t="n">
        <f aca="false">Допущения!$C$22</f>
        <v>5000</v>
      </c>
      <c r="D5" s="8" t="n">
        <f aca="false">Допущения!$D$22</f>
        <v>6000</v>
      </c>
      <c r="E5" s="8" t="n">
        <f aca="false">Допущения!$E$22</f>
        <v>7000</v>
      </c>
      <c r="F5" s="3"/>
    </row>
    <row r="6" customFormat="false" ht="15" hidden="false" customHeight="false" outlineLevel="0" collapsed="false">
      <c r="A6" s="2"/>
      <c r="B6" s="6" t="s">
        <v>28</v>
      </c>
      <c r="C6" s="12" t="n">
        <f aca="false">C5*(Допущения!$C$6+Допущения!$C$7)</f>
        <v>250</v>
      </c>
      <c r="D6" s="12" t="n">
        <f aca="false">D5*(Допущения!$C$6+Допущения!$C$7)</f>
        <v>300</v>
      </c>
      <c r="E6" s="12" t="n">
        <f aca="false">E5*(Допущения!$C$6+Допущения!$C$7)</f>
        <v>350</v>
      </c>
      <c r="F6" s="3"/>
    </row>
    <row r="7" customFormat="false" ht="15" hidden="false" customHeight="false" outlineLevel="0" collapsed="false">
      <c r="A7" s="2"/>
      <c r="B7" s="6" t="s">
        <v>29</v>
      </c>
      <c r="C7" s="12" t="n">
        <f aca="false">C6*(1-Допущения!$C$12)*(1-Допущения!$C$13)</f>
        <v>218.25</v>
      </c>
      <c r="D7" s="12" t="n">
        <f aca="false">D6*(1-Допущения!$C$12)*(1-Допущения!$C$13)</f>
        <v>261.9</v>
      </c>
      <c r="E7" s="12" t="n">
        <f aca="false">E6*(1-Допущения!$C$12)*(1-Допущения!$C$13)</f>
        <v>305.55</v>
      </c>
      <c r="F7" s="3" t="s">
        <v>30</v>
      </c>
    </row>
    <row r="8" customFormat="false" ht="15" hidden="false" customHeight="false" outlineLevel="0" collapsed="false">
      <c r="A8" s="2"/>
      <c r="B8" s="6" t="s">
        <v>31</v>
      </c>
      <c r="C8" s="12" t="n">
        <f aca="false">C5*(1+Допущения!$C$6)*Допущения!$C$23*(1-Допущения!$C$12)</f>
        <v>118.125</v>
      </c>
      <c r="D8" s="12" t="n">
        <f aca="false">D5*(1+Допущения!$C$6)*Допущения!$D$23*(1-Допущения!$C$12)</f>
        <v>113.4</v>
      </c>
      <c r="E8" s="12" t="n">
        <f aca="false">E5*(1+Допущения!$C$6)*Допущения!$E$23*(1-Допущения!$C$12)</f>
        <v>99.225</v>
      </c>
      <c r="F8" s="3" t="s">
        <v>32</v>
      </c>
    </row>
    <row r="9" customFormat="false" ht="15" hidden="false" customHeight="false" outlineLevel="0" collapsed="false">
      <c r="A9" s="2"/>
      <c r="B9" s="6" t="s">
        <v>33</v>
      </c>
      <c r="C9" s="12" t="n">
        <f aca="false">Допущения!$C$10/Допущения!$C$9+Допущения!$C$11</f>
        <v>15</v>
      </c>
      <c r="D9" s="12" t="n">
        <f aca="false">Допущения!$C$10/Допущения!$C$9+Допущения!$C$11</f>
        <v>15</v>
      </c>
      <c r="E9" s="12" t="n">
        <f aca="false">Допущения!$C$10/Допущения!$C$9+Допущения!$C$11</f>
        <v>15</v>
      </c>
      <c r="F9" s="3"/>
    </row>
    <row r="10" customFormat="false" ht="15" hidden="false" customHeight="false" outlineLevel="0" collapsed="false">
      <c r="A10" s="2"/>
      <c r="B10" s="6" t="s">
        <v>34</v>
      </c>
      <c r="C10" s="12" t="n">
        <f aca="false">C7*Допущения!$C$8</f>
        <v>8.73</v>
      </c>
      <c r="D10" s="12" t="n">
        <f aca="false">D7*Допущения!$C$8</f>
        <v>10.476</v>
      </c>
      <c r="E10" s="12" t="n">
        <f aca="false">E7*Допущения!$C$8</f>
        <v>12.222</v>
      </c>
      <c r="F10" s="3"/>
    </row>
    <row r="11" customFormat="false" ht="15" hidden="false" customHeight="false" outlineLevel="0" collapsed="false">
      <c r="A11" s="2"/>
      <c r="B11" s="4" t="s">
        <v>35</v>
      </c>
      <c r="C11" s="13" t="n">
        <f aca="false">C7-C8-C9-C10</f>
        <v>76.395</v>
      </c>
      <c r="D11" s="13" t="n">
        <f aca="false">D7-D8-D9-D10</f>
        <v>123.024</v>
      </c>
      <c r="E11" s="13" t="n">
        <f aca="false">E7-E8-E9-E10</f>
        <v>179.103</v>
      </c>
      <c r="F11" s="3"/>
    </row>
    <row r="12" customFormat="false" ht="15" hidden="false" customHeight="false" outlineLevel="0" collapsed="false">
      <c r="A12" s="2"/>
      <c r="B12" s="4" t="s">
        <v>36</v>
      </c>
      <c r="C12" s="14" t="n">
        <f aca="false">IF(C5=0,0,C11/C5)</f>
        <v>0.015279</v>
      </c>
      <c r="D12" s="14" t="n">
        <f aca="false">IF(D5=0,0,D11/D5)</f>
        <v>0.020504</v>
      </c>
      <c r="E12" s="14" t="n">
        <f aca="false">IF(E5=0,0,E11/E5)</f>
        <v>0.0255861428571429</v>
      </c>
      <c r="F12" s="3" t="s">
        <v>37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</row>
    <row r="14" customFormat="false" ht="15" hidden="false" customHeight="false" outlineLevel="0" collapsed="false">
      <c r="A14" s="2"/>
      <c r="B14" s="5" t="s">
        <v>38</v>
      </c>
      <c r="C14" s="15"/>
      <c r="D14" s="15"/>
      <c r="E14" s="15"/>
      <c r="F14" s="2"/>
    </row>
    <row r="15" customFormat="false" ht="15" hidden="false" customHeight="false" outlineLevel="0" collapsed="false">
      <c r="A15" s="2"/>
      <c r="B15" s="6" t="s">
        <v>39</v>
      </c>
      <c r="C15" s="16" t="n">
        <f aca="false">Допущения!$C$28*Допущения!$C$29*AVERAGE(Допущения!$C$34:$N$34)</f>
        <v>84.75</v>
      </c>
      <c r="D15" s="16" t="n">
        <f aca="false">Допущения!$D$28*Допущения!$D$29*AVERAGE(Допущения!$C$34:$N$34)</f>
        <v>124.3</v>
      </c>
      <c r="E15" s="16" t="n">
        <f aca="false">Допущения!$E$28*Допущения!$E$29*AVERAGE(Допущения!$C$34:$N$34)</f>
        <v>211.875</v>
      </c>
      <c r="F15" s="3"/>
    </row>
    <row r="16" customFormat="false" ht="15" hidden="false" customHeight="false" outlineLevel="0" collapsed="false">
      <c r="A16" s="2"/>
      <c r="B16" s="6" t="s">
        <v>40</v>
      </c>
      <c r="C16" s="12" t="n">
        <f aca="false">C15*C11</f>
        <v>6474.47625</v>
      </c>
      <c r="D16" s="12" t="n">
        <f aca="false">D15*D11</f>
        <v>15291.8832</v>
      </c>
      <c r="E16" s="12" t="n">
        <f aca="false">E15*E11</f>
        <v>37947.448125</v>
      </c>
      <c r="F16" s="3"/>
    </row>
    <row r="17" customFormat="false" ht="15" hidden="false" customHeight="false" outlineLevel="0" collapsed="false">
      <c r="A17" s="2"/>
      <c r="B17" s="6" t="s">
        <v>41</v>
      </c>
      <c r="C17" s="17" t="n">
        <f aca="false">Допущения!$C$27</f>
        <v>0.06</v>
      </c>
      <c r="D17" s="17" t="n">
        <f aca="false">Допущения!$D$27</f>
        <v>0.045</v>
      </c>
      <c r="E17" s="17" t="n">
        <f aca="false">Допущения!$E$27</f>
        <v>0.035</v>
      </c>
      <c r="F17" s="3"/>
    </row>
    <row r="18" customFormat="false" ht="15" hidden="false" customHeight="false" outlineLevel="0" collapsed="false">
      <c r="A18" s="2"/>
      <c r="B18" s="6" t="s">
        <v>42</v>
      </c>
      <c r="C18" s="16" t="n">
        <f aca="false">IF(C17=0,0,1/C17)</f>
        <v>16.6666666666667</v>
      </c>
      <c r="D18" s="16" t="n">
        <f aca="false">IF(D17=0,0,1/D17)</f>
        <v>22.2222222222222</v>
      </c>
      <c r="E18" s="16" t="n">
        <f aca="false">IF(E17=0,0,1/E17)</f>
        <v>28.5714285714286</v>
      </c>
      <c r="F18" s="3" t="s">
        <v>43</v>
      </c>
    </row>
    <row r="19" customFormat="false" ht="15" hidden="false" customHeight="false" outlineLevel="0" collapsed="false">
      <c r="A19" s="2"/>
      <c r="B19" s="4" t="s">
        <v>44</v>
      </c>
      <c r="C19" s="13" t="n">
        <f aca="false">C16*C18</f>
        <v>107907.9375</v>
      </c>
      <c r="D19" s="13" t="n">
        <f aca="false">D16*D18</f>
        <v>339819.626666667</v>
      </c>
      <c r="E19" s="13" t="n">
        <f aca="false">E16*E18</f>
        <v>1084212.80357143</v>
      </c>
      <c r="F19" s="3"/>
    </row>
    <row r="20" customFormat="false" ht="15" hidden="false" customHeight="false" outlineLevel="0" collapsed="false">
      <c r="A20" s="2"/>
      <c r="B20" s="6" t="s">
        <v>45</v>
      </c>
      <c r="C20" s="8" t="n">
        <f aca="false">Допущения!$C$30</f>
        <v>200000</v>
      </c>
      <c r="D20" s="8" t="n">
        <f aca="false">Допущения!$D$30</f>
        <v>150000</v>
      </c>
      <c r="E20" s="8" t="n">
        <f aca="false">Допущения!$E$30</f>
        <v>100000</v>
      </c>
      <c r="F20" s="3"/>
    </row>
    <row r="21" customFormat="false" ht="15" hidden="false" customHeight="false" outlineLevel="0" collapsed="false">
      <c r="A21" s="2"/>
      <c r="B21" s="4" t="s">
        <v>23</v>
      </c>
      <c r="C21" s="18" t="n">
        <f aca="false">IF(C20=0,0,C19/C20)</f>
        <v>0.5395396875</v>
      </c>
      <c r="D21" s="18" t="n">
        <f aca="false">IF(D20=0,0,D19/D20)</f>
        <v>2.26546417777778</v>
      </c>
      <c r="E21" s="18" t="n">
        <f aca="false">IF(E20=0,0,E19/E20)</f>
        <v>10.8421280357143</v>
      </c>
      <c r="F21" s="3" t="s">
        <v>46</v>
      </c>
    </row>
    <row r="22" customFormat="false" ht="15" hidden="false" customHeight="false" outlineLevel="0" collapsed="false">
      <c r="A22" s="2"/>
      <c r="B22" s="6" t="s">
        <v>47</v>
      </c>
      <c r="C22" s="16" t="n">
        <f aca="false">IF(C16=0,0,C20/C16)</f>
        <v>30.8905295621403</v>
      </c>
      <c r="D22" s="16" t="n">
        <f aca="false">IF(D16=0,0,D20/D16)</f>
        <v>9.80912540582314</v>
      </c>
      <c r="E22" s="16" t="n">
        <f aca="false">IF(E16=0,0,E20/E16)</f>
        <v>2.63522331384701</v>
      </c>
      <c r="F22" s="3" t="s">
        <v>48</v>
      </c>
    </row>
    <row r="23" customFormat="false" ht="15" hidden="false" customHeight="false" outlineLevel="0" collapsed="false">
      <c r="A23" s="2"/>
      <c r="B23" s="4" t="s">
        <v>49</v>
      </c>
      <c r="C23" s="19" t="n">
        <f aca="false">IF(C16=0,0,(Допущения!$D$18+Допущения!$C$15+Допущения!$D$19)/C16)</f>
        <v>71.0482179929226</v>
      </c>
      <c r="D23" s="19" t="n">
        <f aca="false">IF(D16=0,0,(Допущения!$D$18+Допущения!$C$15+Допущения!$D$19)/D16)</f>
        <v>30.081317911191</v>
      </c>
      <c r="E23" s="19" t="n">
        <f aca="false">IF(E16=0,0,(Допущения!$D$18+Допущения!$C$15+Допущения!$D$19)/E16)</f>
        <v>12.1220272436962</v>
      </c>
      <c r="F23" s="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5" min="3" style="0" width="16"/>
    <col collapsed="false" customWidth="true" hidden="false" outlineLevel="0" max="6" min="6" style="0" width="12"/>
    <col collapsed="false" customWidth="true" hidden="false" outlineLevel="0" max="7" min="7" style="0" width="90"/>
    <col collapsed="false" customWidth="true" hidden="false" outlineLevel="0" max="14" min="8" style="0" width="7"/>
  </cols>
  <sheetData>
    <row r="1" customFormat="false" ht="17.35" hidden="false" customHeight="false" outlineLevel="0" collapsed="false">
      <c r="A1" s="1" t="s">
        <v>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2"/>
      <c r="B4" s="4" t="s">
        <v>53</v>
      </c>
      <c r="C4" s="4" t="s">
        <v>54</v>
      </c>
      <c r="D4" s="2"/>
      <c r="E4" s="2"/>
      <c r="F4" s="2"/>
      <c r="G4" s="4" t="s">
        <v>55</v>
      </c>
      <c r="H4" s="2"/>
      <c r="I4" s="2"/>
      <c r="J4" s="2"/>
      <c r="K4" s="2"/>
      <c r="L4" s="2"/>
      <c r="M4" s="2"/>
      <c r="N4" s="2"/>
    </row>
    <row r="5" customFormat="false" ht="15" hidden="false" customHeight="false" outlineLevel="0" collapsed="false">
      <c r="A5" s="2"/>
      <c r="B5" s="6" t="s">
        <v>56</v>
      </c>
      <c r="C5" s="20" t="n">
        <v>46539</v>
      </c>
      <c r="D5" s="2"/>
      <c r="E5" s="2"/>
      <c r="F5" s="3"/>
      <c r="G5" s="3" t="s">
        <v>57</v>
      </c>
      <c r="H5" s="2"/>
      <c r="I5" s="2"/>
      <c r="J5" s="2"/>
      <c r="K5" s="2"/>
      <c r="L5" s="2"/>
      <c r="M5" s="2"/>
      <c r="N5" s="2"/>
    </row>
    <row r="6" customFormat="false" ht="15" hidden="false" customHeight="false" outlineLevel="0" collapsed="false">
      <c r="A6" s="2"/>
      <c r="B6" s="6" t="s">
        <v>58</v>
      </c>
      <c r="C6" s="21" t="n">
        <v>0.05</v>
      </c>
      <c r="D6" s="2"/>
      <c r="E6" s="2"/>
      <c r="F6" s="3" t="s">
        <v>59</v>
      </c>
      <c r="G6" s="3" t="s">
        <v>60</v>
      </c>
      <c r="H6" s="2"/>
      <c r="I6" s="2"/>
      <c r="J6" s="2"/>
      <c r="K6" s="2"/>
      <c r="L6" s="2"/>
      <c r="M6" s="2"/>
      <c r="N6" s="2"/>
    </row>
    <row r="7" customFormat="false" ht="15" hidden="false" customHeight="false" outlineLevel="0" collapsed="false">
      <c r="A7" s="2"/>
      <c r="B7" s="6" t="s">
        <v>61</v>
      </c>
      <c r="C7" s="21" t="n">
        <v>0</v>
      </c>
      <c r="D7" s="2"/>
      <c r="E7" s="2"/>
      <c r="F7" s="3" t="s">
        <v>59</v>
      </c>
      <c r="G7" s="3" t="s">
        <v>62</v>
      </c>
      <c r="H7" s="2"/>
      <c r="I7" s="2"/>
      <c r="J7" s="2"/>
      <c r="K7" s="2"/>
      <c r="L7" s="2"/>
      <c r="M7" s="2"/>
      <c r="N7" s="2"/>
    </row>
    <row r="8" customFormat="false" ht="15" hidden="false" customHeight="false" outlineLevel="0" collapsed="false">
      <c r="A8" s="2"/>
      <c r="B8" s="6" t="s">
        <v>63</v>
      </c>
      <c r="C8" s="22" t="n">
        <v>0.04</v>
      </c>
      <c r="D8" s="2"/>
      <c r="E8" s="2"/>
      <c r="F8" s="3" t="s">
        <v>64</v>
      </c>
      <c r="G8" s="3" t="s">
        <v>65</v>
      </c>
      <c r="H8" s="2"/>
      <c r="I8" s="2"/>
      <c r="J8" s="2"/>
      <c r="K8" s="2"/>
      <c r="L8" s="2"/>
      <c r="M8" s="2"/>
      <c r="N8" s="2"/>
    </row>
    <row r="9" customFormat="false" ht="15" hidden="false" customHeight="false" outlineLevel="0" collapsed="false">
      <c r="A9" s="2"/>
      <c r="B9" s="6" t="s">
        <v>66</v>
      </c>
      <c r="C9" s="23" t="n">
        <v>2</v>
      </c>
      <c r="D9" s="2"/>
      <c r="E9" s="2"/>
      <c r="F9" s="3" t="s">
        <v>67</v>
      </c>
      <c r="G9" s="3" t="s">
        <v>68</v>
      </c>
      <c r="H9" s="2"/>
      <c r="I9" s="2"/>
      <c r="J9" s="2"/>
      <c r="K9" s="2"/>
      <c r="L9" s="2"/>
      <c r="M9" s="2"/>
      <c r="N9" s="2"/>
    </row>
    <row r="10" customFormat="false" ht="15" hidden="false" customHeight="false" outlineLevel="0" collapsed="false">
      <c r="A10" s="2"/>
      <c r="B10" s="6" t="s">
        <v>69</v>
      </c>
      <c r="C10" s="24" t="n">
        <v>20</v>
      </c>
      <c r="D10" s="2"/>
      <c r="E10" s="2"/>
      <c r="F10" s="3" t="s">
        <v>70</v>
      </c>
      <c r="G10" s="3" t="s">
        <v>71</v>
      </c>
      <c r="H10" s="2"/>
      <c r="I10" s="2"/>
      <c r="J10" s="2"/>
      <c r="K10" s="2"/>
      <c r="L10" s="2"/>
      <c r="M10" s="2"/>
      <c r="N10" s="2"/>
    </row>
    <row r="11" customFormat="false" ht="15" hidden="false" customHeight="false" outlineLevel="0" collapsed="false">
      <c r="A11" s="2"/>
      <c r="B11" s="6" t="s">
        <v>72</v>
      </c>
      <c r="C11" s="24" t="n">
        <v>5</v>
      </c>
      <c r="D11" s="2"/>
      <c r="E11" s="2"/>
      <c r="F11" s="3" t="s">
        <v>70</v>
      </c>
      <c r="G11" s="3" t="s">
        <v>73</v>
      </c>
      <c r="H11" s="2"/>
      <c r="I11" s="2"/>
      <c r="J11" s="2"/>
      <c r="K11" s="2"/>
      <c r="L11" s="2"/>
      <c r="M11" s="2"/>
      <c r="N11" s="2"/>
    </row>
    <row r="12" customFormat="false" ht="15" hidden="false" customHeight="false" outlineLevel="0" collapsed="false">
      <c r="A12" s="2"/>
      <c r="B12" s="6" t="s">
        <v>74</v>
      </c>
      <c r="C12" s="22" t="n">
        <v>0.1</v>
      </c>
      <c r="D12" s="2"/>
      <c r="E12" s="2"/>
      <c r="F12" s="3" t="s">
        <v>75</v>
      </c>
      <c r="G12" s="3" t="s">
        <v>76</v>
      </c>
      <c r="H12" s="2"/>
      <c r="I12" s="2"/>
      <c r="J12" s="2"/>
      <c r="K12" s="2"/>
      <c r="L12" s="2"/>
      <c r="M12" s="2"/>
      <c r="N12" s="2"/>
    </row>
    <row r="13" customFormat="false" ht="15" hidden="false" customHeight="false" outlineLevel="0" collapsed="false">
      <c r="A13" s="2"/>
      <c r="B13" s="6" t="s">
        <v>77</v>
      </c>
      <c r="C13" s="22" t="n">
        <v>0.03</v>
      </c>
      <c r="D13" s="2"/>
      <c r="E13" s="2"/>
      <c r="F13" s="3" t="s">
        <v>78</v>
      </c>
      <c r="G13" s="3" t="s">
        <v>79</v>
      </c>
      <c r="H13" s="2"/>
      <c r="I13" s="2"/>
      <c r="J13" s="2"/>
      <c r="K13" s="2"/>
      <c r="L13" s="2"/>
      <c r="M13" s="2"/>
      <c r="N13" s="2"/>
    </row>
    <row r="14" customFormat="false" ht="15" hidden="false" customHeight="false" outlineLevel="0" collapsed="false">
      <c r="A14" s="2"/>
      <c r="B14" s="6" t="s">
        <v>80</v>
      </c>
      <c r="C14" s="24" t="n">
        <v>800000</v>
      </c>
      <c r="D14" s="2"/>
      <c r="E14" s="2"/>
      <c r="F14" s="3" t="s">
        <v>70</v>
      </c>
      <c r="G14" s="3" t="s">
        <v>81</v>
      </c>
      <c r="H14" s="2"/>
      <c r="I14" s="2"/>
      <c r="J14" s="2"/>
      <c r="K14" s="2"/>
      <c r="L14" s="2"/>
      <c r="M14" s="2"/>
      <c r="N14" s="2"/>
    </row>
    <row r="15" customFormat="false" ht="15" hidden="false" customHeight="false" outlineLevel="0" collapsed="false">
      <c r="A15" s="2"/>
      <c r="B15" s="6" t="s">
        <v>82</v>
      </c>
      <c r="C15" s="24" t="n">
        <v>40000</v>
      </c>
      <c r="D15" s="2"/>
      <c r="E15" s="2"/>
      <c r="F15" s="3" t="s">
        <v>83</v>
      </c>
      <c r="G15" s="3" t="s">
        <v>84</v>
      </c>
      <c r="H15" s="2"/>
      <c r="I15" s="2"/>
      <c r="J15" s="2"/>
      <c r="K15" s="2"/>
      <c r="L15" s="2"/>
      <c r="M15" s="2"/>
      <c r="N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5" hidden="false" customHeight="false" outlineLevel="0" collapsed="false">
      <c r="A17" s="2"/>
      <c r="B17" s="4" t="s">
        <v>85</v>
      </c>
      <c r="C17" s="4" t="s">
        <v>6</v>
      </c>
      <c r="D17" s="4" t="s">
        <v>7</v>
      </c>
      <c r="E17" s="4" t="s">
        <v>8</v>
      </c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5" hidden="false" customHeight="false" outlineLevel="0" collapsed="false">
      <c r="A18" s="2"/>
      <c r="B18" s="2" t="s">
        <v>86</v>
      </c>
      <c r="C18" s="24" t="n">
        <v>60000</v>
      </c>
      <c r="D18" s="24" t="n">
        <v>120000</v>
      </c>
      <c r="E18" s="24" t="n">
        <v>200000</v>
      </c>
      <c r="F18" s="3" t="s">
        <v>83</v>
      </c>
      <c r="G18" s="3" t="s">
        <v>87</v>
      </c>
      <c r="H18" s="2"/>
      <c r="I18" s="2"/>
      <c r="J18" s="2"/>
      <c r="K18" s="2"/>
      <c r="L18" s="2"/>
      <c r="M18" s="2"/>
      <c r="N18" s="2"/>
    </row>
    <row r="19" customFormat="false" ht="15" hidden="false" customHeight="false" outlineLevel="0" collapsed="false">
      <c r="A19" s="2"/>
      <c r="B19" s="2" t="s">
        <v>88</v>
      </c>
      <c r="C19" s="25" t="n">
        <v>0</v>
      </c>
      <c r="D19" s="25" t="n">
        <v>300000</v>
      </c>
      <c r="E19" s="25" t="n">
        <v>500000</v>
      </c>
      <c r="F19" s="3" t="s">
        <v>83</v>
      </c>
      <c r="G19" s="3" t="s">
        <v>89</v>
      </c>
      <c r="H19" s="2"/>
      <c r="I19" s="2"/>
      <c r="J19" s="2"/>
      <c r="K19" s="2"/>
      <c r="L19" s="2"/>
      <c r="M19" s="2"/>
      <c r="N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5" hidden="false" customHeight="false" outlineLevel="0" collapsed="false">
      <c r="A21" s="2"/>
      <c r="B21" s="4" t="s">
        <v>90</v>
      </c>
      <c r="C21" s="4" t="s">
        <v>2</v>
      </c>
      <c r="D21" s="4" t="s">
        <v>3</v>
      </c>
      <c r="E21" s="4" t="s">
        <v>4</v>
      </c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false" outlineLevel="0" collapsed="false">
      <c r="A22" s="2"/>
      <c r="B22" s="2" t="s">
        <v>91</v>
      </c>
      <c r="C22" s="25" t="n">
        <v>5000</v>
      </c>
      <c r="D22" s="25" t="n">
        <v>6000</v>
      </c>
      <c r="E22" s="25" t="n">
        <v>7000</v>
      </c>
      <c r="F22" s="3" t="s">
        <v>70</v>
      </c>
      <c r="G22" s="3" t="s">
        <v>92</v>
      </c>
      <c r="H22" s="2"/>
      <c r="I22" s="2"/>
      <c r="J22" s="2"/>
      <c r="K22" s="2"/>
      <c r="L22" s="2"/>
      <c r="M22" s="2"/>
      <c r="N22" s="2"/>
    </row>
    <row r="23" customFormat="false" ht="15" hidden="false" customHeight="false" outlineLevel="0" collapsed="false">
      <c r="A23" s="2"/>
      <c r="B23" s="2" t="s">
        <v>93</v>
      </c>
      <c r="C23" s="22" t="n">
        <v>0.025</v>
      </c>
      <c r="D23" s="22" t="n">
        <v>0.02</v>
      </c>
      <c r="E23" s="22" t="n">
        <v>0.015</v>
      </c>
      <c r="F23" s="3" t="s">
        <v>94</v>
      </c>
      <c r="G23" s="3" t="s">
        <v>95</v>
      </c>
      <c r="H23" s="2"/>
      <c r="I23" s="2"/>
      <c r="J23" s="2"/>
      <c r="K23" s="2"/>
      <c r="L23" s="2"/>
      <c r="M23" s="2"/>
      <c r="N23" s="2"/>
    </row>
    <row r="24" customFormat="false" ht="15" hidden="false" customHeight="false" outlineLevel="0" collapsed="false">
      <c r="A24" s="2"/>
      <c r="B24" s="2" t="s">
        <v>96</v>
      </c>
      <c r="C24" s="26" t="n">
        <v>1.5</v>
      </c>
      <c r="D24" s="26" t="n">
        <v>3</v>
      </c>
      <c r="E24" s="26" t="n">
        <v>5</v>
      </c>
      <c r="F24" s="3" t="s">
        <v>97</v>
      </c>
      <c r="G24" s="3" t="s">
        <v>98</v>
      </c>
      <c r="H24" s="2"/>
      <c r="I24" s="2"/>
      <c r="J24" s="2"/>
      <c r="K24" s="2"/>
      <c r="L24" s="2"/>
      <c r="M24" s="2"/>
      <c r="N24" s="2"/>
    </row>
    <row r="25" customFormat="false" ht="15" hidden="false" customHeight="false" outlineLevel="0" collapsed="false">
      <c r="A25" s="2"/>
      <c r="B25" s="2" t="s">
        <v>99</v>
      </c>
      <c r="C25" s="26" t="n">
        <v>3</v>
      </c>
      <c r="D25" s="26" t="n">
        <v>5</v>
      </c>
      <c r="E25" s="26" t="n">
        <v>8</v>
      </c>
      <c r="F25" s="3" t="s">
        <v>97</v>
      </c>
      <c r="G25" s="3" t="s">
        <v>100</v>
      </c>
      <c r="H25" s="2"/>
      <c r="I25" s="2"/>
      <c r="J25" s="2"/>
      <c r="K25" s="2"/>
      <c r="L25" s="2"/>
      <c r="M25" s="2"/>
      <c r="N25" s="2"/>
    </row>
    <row r="26" customFormat="false" ht="15" hidden="false" customHeight="false" outlineLevel="0" collapsed="false">
      <c r="A26" s="2"/>
      <c r="B26" s="2" t="s">
        <v>101</v>
      </c>
      <c r="C26" s="26" t="n">
        <v>4</v>
      </c>
      <c r="D26" s="26" t="n">
        <v>7</v>
      </c>
      <c r="E26" s="26" t="n">
        <v>11</v>
      </c>
      <c r="F26" s="3" t="s">
        <v>97</v>
      </c>
      <c r="G26" s="3" t="s">
        <v>102</v>
      </c>
      <c r="H26" s="2"/>
      <c r="I26" s="2"/>
      <c r="J26" s="2"/>
      <c r="K26" s="2"/>
      <c r="L26" s="2"/>
      <c r="M26" s="2"/>
      <c r="N26" s="2"/>
    </row>
    <row r="27" customFormat="false" ht="15" hidden="false" customHeight="false" outlineLevel="0" collapsed="false">
      <c r="A27" s="2"/>
      <c r="B27" s="2" t="s">
        <v>103</v>
      </c>
      <c r="C27" s="22" t="n">
        <v>0.06</v>
      </c>
      <c r="D27" s="22" t="n">
        <v>0.045</v>
      </c>
      <c r="E27" s="22" t="n">
        <v>0.035</v>
      </c>
      <c r="F27" s="3" t="s">
        <v>104</v>
      </c>
      <c r="G27" s="3" t="s">
        <v>105</v>
      </c>
      <c r="H27" s="2"/>
      <c r="I27" s="2"/>
      <c r="J27" s="2"/>
      <c r="K27" s="2"/>
      <c r="L27" s="2"/>
      <c r="M27" s="2"/>
      <c r="N27" s="2"/>
    </row>
    <row r="28" customFormat="false" ht="15" hidden="false" customHeight="false" outlineLevel="0" collapsed="false">
      <c r="A28" s="2"/>
      <c r="B28" s="2" t="s">
        <v>106</v>
      </c>
      <c r="C28" s="23" t="n">
        <v>1</v>
      </c>
      <c r="D28" s="23" t="n">
        <v>1.2</v>
      </c>
      <c r="E28" s="23" t="n">
        <v>1.5</v>
      </c>
      <c r="F28" s="3" t="s">
        <v>67</v>
      </c>
      <c r="G28" s="3" t="s">
        <v>107</v>
      </c>
      <c r="H28" s="2"/>
      <c r="I28" s="2"/>
      <c r="J28" s="2"/>
      <c r="K28" s="2"/>
      <c r="L28" s="2"/>
      <c r="M28" s="2"/>
      <c r="N28" s="2"/>
    </row>
    <row r="29" customFormat="false" ht="15" hidden="false" customHeight="false" outlineLevel="0" collapsed="false">
      <c r="A29" s="2"/>
      <c r="B29" s="2" t="s">
        <v>108</v>
      </c>
      <c r="C29" s="23" t="n">
        <v>90</v>
      </c>
      <c r="D29" s="23" t="n">
        <v>110</v>
      </c>
      <c r="E29" s="23" t="n">
        <v>150</v>
      </c>
      <c r="F29" s="3" t="s">
        <v>67</v>
      </c>
      <c r="G29" s="3" t="s">
        <v>109</v>
      </c>
      <c r="H29" s="2"/>
      <c r="I29" s="2"/>
      <c r="J29" s="2"/>
      <c r="K29" s="2"/>
      <c r="L29" s="2"/>
      <c r="M29" s="2"/>
      <c r="N29" s="2"/>
    </row>
    <row r="30" customFormat="false" ht="15" hidden="false" customHeight="false" outlineLevel="0" collapsed="false">
      <c r="A30" s="2"/>
      <c r="B30" s="2" t="s">
        <v>110</v>
      </c>
      <c r="C30" s="24" t="n">
        <v>200000</v>
      </c>
      <c r="D30" s="24" t="n">
        <v>150000</v>
      </c>
      <c r="E30" s="24" t="n">
        <v>100000</v>
      </c>
      <c r="F30" s="3" t="s">
        <v>70</v>
      </c>
      <c r="G30" s="3" t="s">
        <v>111</v>
      </c>
      <c r="H30" s="2"/>
      <c r="I30" s="2"/>
      <c r="J30" s="2"/>
      <c r="K30" s="2"/>
      <c r="L30" s="2"/>
      <c r="M30" s="2"/>
      <c r="N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5" hidden="false" customHeight="false" outlineLevel="0" collapsed="false">
      <c r="A32" s="2"/>
      <c r="B32" s="4" t="s">
        <v>112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5" hidden="false" customHeight="false" outlineLevel="0" collapsed="false">
      <c r="A33" s="2"/>
      <c r="B33" s="2"/>
      <c r="C33" s="4" t="s">
        <v>113</v>
      </c>
      <c r="D33" s="4" t="s">
        <v>114</v>
      </c>
      <c r="E33" s="4" t="s">
        <v>115</v>
      </c>
      <c r="F33" s="4" t="s">
        <v>116</v>
      </c>
      <c r="G33" s="4" t="s">
        <v>117</v>
      </c>
      <c r="H33" s="4" t="s">
        <v>118</v>
      </c>
      <c r="I33" s="4" t="s">
        <v>119</v>
      </c>
      <c r="J33" s="4" t="s">
        <v>120</v>
      </c>
      <c r="K33" s="4" t="s">
        <v>121</v>
      </c>
      <c r="L33" s="4" t="s">
        <v>122</v>
      </c>
      <c r="M33" s="4" t="s">
        <v>123</v>
      </c>
      <c r="N33" s="4" t="s">
        <v>124</v>
      </c>
    </row>
    <row r="34" customFormat="false" ht="15" hidden="false" customHeight="false" outlineLevel="0" collapsed="false">
      <c r="A34" s="2"/>
      <c r="B34" s="2" t="s">
        <v>125</v>
      </c>
      <c r="C34" s="27" t="n">
        <v>0.8</v>
      </c>
      <c r="D34" s="27" t="n">
        <v>0.9</v>
      </c>
      <c r="E34" s="27" t="n">
        <v>1</v>
      </c>
      <c r="F34" s="27" t="n">
        <v>1</v>
      </c>
      <c r="G34" s="27" t="n">
        <v>1</v>
      </c>
      <c r="H34" s="27" t="n">
        <v>0.8</v>
      </c>
      <c r="I34" s="27" t="n">
        <v>0.6</v>
      </c>
      <c r="J34" s="27" t="n">
        <v>0.6</v>
      </c>
      <c r="K34" s="27" t="n">
        <v>1</v>
      </c>
      <c r="L34" s="27" t="n">
        <v>1.1</v>
      </c>
      <c r="M34" s="27" t="n">
        <v>1.2</v>
      </c>
      <c r="N34" s="27" t="n">
        <v>1.3</v>
      </c>
    </row>
    <row r="35" customFormat="false" ht="15" hidden="false" customHeight="false" outlineLevel="0" collapsed="false">
      <c r="A35" s="2"/>
      <c r="B35" s="3" t="s">
        <v>126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L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38" min="3" style="0" width="12"/>
  </cols>
  <sheetData>
    <row r="1" customFormat="false" ht="17.35" hidden="false" customHeight="false" outlineLevel="0" collapsed="false">
      <c r="A1" s="1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customFormat="false" ht="15" hidden="false" customHeight="false" outlineLevel="0" collapsed="false">
      <c r="A2" s="3" t="s">
        <v>128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customFormat="false" ht="15" hidden="false" customHeight="false" outlineLevel="0" collapsed="false">
      <c r="A4" s="5" t="s">
        <v>129</v>
      </c>
      <c r="B4" s="15"/>
      <c r="C4" s="5" t="n">
        <v>1</v>
      </c>
      <c r="D4" s="5" t="n">
        <v>2</v>
      </c>
      <c r="E4" s="5" t="n">
        <v>3</v>
      </c>
      <c r="F4" s="5" t="n">
        <v>4</v>
      </c>
      <c r="G4" s="5" t="n">
        <v>5</v>
      </c>
      <c r="H4" s="5" t="n">
        <v>6</v>
      </c>
      <c r="I4" s="5" t="n">
        <v>7</v>
      </c>
      <c r="J4" s="5" t="n">
        <v>8</v>
      </c>
      <c r="K4" s="5" t="n">
        <v>9</v>
      </c>
      <c r="L4" s="5" t="n">
        <v>10</v>
      </c>
      <c r="M4" s="5" t="n">
        <v>11</v>
      </c>
      <c r="N4" s="5" t="n">
        <v>12</v>
      </c>
      <c r="O4" s="5" t="n">
        <v>13</v>
      </c>
      <c r="P4" s="5" t="n">
        <v>14</v>
      </c>
      <c r="Q4" s="5" t="n">
        <v>15</v>
      </c>
      <c r="R4" s="5" t="n">
        <v>16</v>
      </c>
      <c r="S4" s="5" t="n">
        <v>17</v>
      </c>
      <c r="T4" s="5" t="n">
        <v>18</v>
      </c>
      <c r="U4" s="5" t="n">
        <v>19</v>
      </c>
      <c r="V4" s="5" t="n">
        <v>20</v>
      </c>
      <c r="W4" s="5" t="n">
        <v>21</v>
      </c>
      <c r="X4" s="5" t="n">
        <v>22</v>
      </c>
      <c r="Y4" s="5" t="n">
        <v>23</v>
      </c>
      <c r="Z4" s="5" t="n">
        <v>24</v>
      </c>
      <c r="AA4" s="5" t="n">
        <v>25</v>
      </c>
      <c r="AB4" s="5" t="n">
        <v>26</v>
      </c>
      <c r="AC4" s="5" t="n">
        <v>27</v>
      </c>
      <c r="AD4" s="5" t="n">
        <v>28</v>
      </c>
      <c r="AE4" s="5" t="n">
        <v>29</v>
      </c>
      <c r="AF4" s="5" t="n">
        <v>30</v>
      </c>
      <c r="AG4" s="5" t="n">
        <v>31</v>
      </c>
      <c r="AH4" s="5" t="n">
        <v>32</v>
      </c>
      <c r="AI4" s="5" t="n">
        <v>33</v>
      </c>
      <c r="AJ4" s="5" t="n">
        <v>34</v>
      </c>
      <c r="AK4" s="5" t="n">
        <v>35</v>
      </c>
      <c r="AL4" s="5" t="n">
        <v>36</v>
      </c>
    </row>
    <row r="5" customFormat="false" ht="15" hidden="false" customHeight="false" outlineLevel="0" collapsed="false">
      <c r="A5" s="5" t="s">
        <v>130</v>
      </c>
      <c r="B5" s="15"/>
      <c r="C5" s="28" t="n">
        <f aca="false">EDATE(Допущения!$C$5,0)</f>
        <v>46539</v>
      </c>
      <c r="D5" s="28" t="n">
        <f aca="false">EDATE(Допущения!$C$5,1)</f>
        <v>46569</v>
      </c>
      <c r="E5" s="28" t="n">
        <f aca="false">EDATE(Допущения!$C$5,2)</f>
        <v>46600</v>
      </c>
      <c r="F5" s="28" t="n">
        <f aca="false">EDATE(Допущения!$C$5,3)</f>
        <v>46631</v>
      </c>
      <c r="G5" s="28" t="n">
        <f aca="false">EDATE(Допущения!$C$5,4)</f>
        <v>46661</v>
      </c>
      <c r="H5" s="28" t="n">
        <f aca="false">EDATE(Допущения!$C$5,5)</f>
        <v>46692</v>
      </c>
      <c r="I5" s="28" t="n">
        <f aca="false">EDATE(Допущения!$C$5,6)</f>
        <v>46722</v>
      </c>
      <c r="J5" s="28" t="n">
        <f aca="false">EDATE(Допущения!$C$5,7)</f>
        <v>46753</v>
      </c>
      <c r="K5" s="28" t="n">
        <f aca="false">EDATE(Допущения!$C$5,8)</f>
        <v>46784</v>
      </c>
      <c r="L5" s="28" t="n">
        <f aca="false">EDATE(Допущения!$C$5,9)</f>
        <v>46813</v>
      </c>
      <c r="M5" s="28" t="n">
        <f aca="false">EDATE(Допущения!$C$5,10)</f>
        <v>46844</v>
      </c>
      <c r="N5" s="28" t="n">
        <f aca="false">EDATE(Допущения!$C$5,11)</f>
        <v>46874</v>
      </c>
      <c r="O5" s="28" t="n">
        <f aca="false">EDATE(Допущения!$C$5,12)</f>
        <v>46905</v>
      </c>
      <c r="P5" s="28" t="n">
        <f aca="false">EDATE(Допущения!$C$5,13)</f>
        <v>46935</v>
      </c>
      <c r="Q5" s="28" t="n">
        <f aca="false">EDATE(Допущения!$C$5,14)</f>
        <v>46966</v>
      </c>
      <c r="R5" s="28" t="n">
        <f aca="false">EDATE(Допущения!$C$5,15)</f>
        <v>46997</v>
      </c>
      <c r="S5" s="28" t="n">
        <f aca="false">EDATE(Допущения!$C$5,16)</f>
        <v>47027</v>
      </c>
      <c r="T5" s="28" t="n">
        <f aca="false">EDATE(Допущения!$C$5,17)</f>
        <v>47058</v>
      </c>
      <c r="U5" s="28" t="n">
        <f aca="false">EDATE(Допущения!$C$5,18)</f>
        <v>47088</v>
      </c>
      <c r="V5" s="28" t="n">
        <f aca="false">EDATE(Допущения!$C$5,19)</f>
        <v>47119</v>
      </c>
      <c r="W5" s="28" t="n">
        <f aca="false">EDATE(Допущения!$C$5,20)</f>
        <v>47150</v>
      </c>
      <c r="X5" s="28" t="n">
        <f aca="false">EDATE(Допущения!$C$5,21)</f>
        <v>47178</v>
      </c>
      <c r="Y5" s="28" t="n">
        <f aca="false">EDATE(Допущения!$C$5,22)</f>
        <v>47209</v>
      </c>
      <c r="Z5" s="28" t="n">
        <f aca="false">EDATE(Допущения!$C$5,23)</f>
        <v>47239</v>
      </c>
      <c r="AA5" s="28" t="n">
        <f aca="false">EDATE(Допущения!$C$5,24)</f>
        <v>47270</v>
      </c>
      <c r="AB5" s="28" t="n">
        <f aca="false">EDATE(Допущения!$C$5,25)</f>
        <v>47300</v>
      </c>
      <c r="AC5" s="28" t="n">
        <f aca="false">EDATE(Допущения!$C$5,26)</f>
        <v>47331</v>
      </c>
      <c r="AD5" s="28" t="n">
        <f aca="false">EDATE(Допущения!$C$5,27)</f>
        <v>47362</v>
      </c>
      <c r="AE5" s="28" t="n">
        <f aca="false">EDATE(Допущения!$C$5,28)</f>
        <v>47392</v>
      </c>
      <c r="AF5" s="28" t="n">
        <f aca="false">EDATE(Допущения!$C$5,29)</f>
        <v>47423</v>
      </c>
      <c r="AG5" s="28" t="n">
        <f aca="false">EDATE(Допущения!$C$5,30)</f>
        <v>47453</v>
      </c>
      <c r="AH5" s="28" t="n">
        <f aca="false">EDATE(Допущения!$C$5,31)</f>
        <v>47484</v>
      </c>
      <c r="AI5" s="28" t="n">
        <f aca="false">EDATE(Допущения!$C$5,32)</f>
        <v>47515</v>
      </c>
      <c r="AJ5" s="28" t="n">
        <f aca="false">EDATE(Допущения!$C$5,33)</f>
        <v>47543</v>
      </c>
      <c r="AK5" s="28" t="n">
        <f aca="false">EDATE(Допущения!$C$5,34)</f>
        <v>47574</v>
      </c>
      <c r="AL5" s="28" t="n">
        <f aca="false">EDATE(Допущения!$C$5,35)</f>
        <v>47604</v>
      </c>
    </row>
    <row r="6" customFormat="false" ht="15" hidden="false" customHeight="false" outlineLevel="0" collapsed="false">
      <c r="A6" s="5" t="s">
        <v>131</v>
      </c>
      <c r="B6" s="15"/>
      <c r="C6" s="29" t="n">
        <f aca="false">INT((C4-1)/12)+1</f>
        <v>1</v>
      </c>
      <c r="D6" s="29" t="n">
        <f aca="false">INT((D4-1)/12)+1</f>
        <v>1</v>
      </c>
      <c r="E6" s="29" t="n">
        <f aca="false">INT((E4-1)/12)+1</f>
        <v>1</v>
      </c>
      <c r="F6" s="29" t="n">
        <f aca="false">INT((F4-1)/12)+1</f>
        <v>1</v>
      </c>
      <c r="G6" s="29" t="n">
        <f aca="false">INT((G4-1)/12)+1</f>
        <v>1</v>
      </c>
      <c r="H6" s="29" t="n">
        <f aca="false">INT((H4-1)/12)+1</f>
        <v>1</v>
      </c>
      <c r="I6" s="29" t="n">
        <f aca="false">INT((I4-1)/12)+1</f>
        <v>1</v>
      </c>
      <c r="J6" s="29" t="n">
        <f aca="false">INT((J4-1)/12)+1</f>
        <v>1</v>
      </c>
      <c r="K6" s="29" t="n">
        <f aca="false">INT((K4-1)/12)+1</f>
        <v>1</v>
      </c>
      <c r="L6" s="29" t="n">
        <f aca="false">INT((L4-1)/12)+1</f>
        <v>1</v>
      </c>
      <c r="M6" s="29" t="n">
        <f aca="false">INT((M4-1)/12)+1</f>
        <v>1</v>
      </c>
      <c r="N6" s="29" t="n">
        <f aca="false">INT((N4-1)/12)+1</f>
        <v>1</v>
      </c>
      <c r="O6" s="29" t="n">
        <f aca="false">INT((O4-1)/12)+1</f>
        <v>2</v>
      </c>
      <c r="P6" s="29" t="n">
        <f aca="false">INT((P4-1)/12)+1</f>
        <v>2</v>
      </c>
      <c r="Q6" s="29" t="n">
        <f aca="false">INT((Q4-1)/12)+1</f>
        <v>2</v>
      </c>
      <c r="R6" s="29" t="n">
        <f aca="false">INT((R4-1)/12)+1</f>
        <v>2</v>
      </c>
      <c r="S6" s="29" t="n">
        <f aca="false">INT((S4-1)/12)+1</f>
        <v>2</v>
      </c>
      <c r="T6" s="29" t="n">
        <f aca="false">INT((T4-1)/12)+1</f>
        <v>2</v>
      </c>
      <c r="U6" s="29" t="n">
        <f aca="false">INT((U4-1)/12)+1</f>
        <v>2</v>
      </c>
      <c r="V6" s="29" t="n">
        <f aca="false">INT((V4-1)/12)+1</f>
        <v>2</v>
      </c>
      <c r="W6" s="29" t="n">
        <f aca="false">INT((W4-1)/12)+1</f>
        <v>2</v>
      </c>
      <c r="X6" s="29" t="n">
        <f aca="false">INT((X4-1)/12)+1</f>
        <v>2</v>
      </c>
      <c r="Y6" s="29" t="n">
        <f aca="false">INT((Y4-1)/12)+1</f>
        <v>2</v>
      </c>
      <c r="Z6" s="29" t="n">
        <f aca="false">INT((Z4-1)/12)+1</f>
        <v>2</v>
      </c>
      <c r="AA6" s="29" t="n">
        <f aca="false">INT((AA4-1)/12)+1</f>
        <v>3</v>
      </c>
      <c r="AB6" s="29" t="n">
        <f aca="false">INT((AB4-1)/12)+1</f>
        <v>3</v>
      </c>
      <c r="AC6" s="29" t="n">
        <f aca="false">INT((AC4-1)/12)+1</f>
        <v>3</v>
      </c>
      <c r="AD6" s="29" t="n">
        <f aca="false">INT((AD4-1)/12)+1</f>
        <v>3</v>
      </c>
      <c r="AE6" s="29" t="n">
        <f aca="false">INT((AE4-1)/12)+1</f>
        <v>3</v>
      </c>
      <c r="AF6" s="29" t="n">
        <f aca="false">INT((AF4-1)/12)+1</f>
        <v>3</v>
      </c>
      <c r="AG6" s="29" t="n">
        <f aca="false">INT((AG4-1)/12)+1</f>
        <v>3</v>
      </c>
      <c r="AH6" s="29" t="n">
        <f aca="false">INT((AH4-1)/12)+1</f>
        <v>3</v>
      </c>
      <c r="AI6" s="29" t="n">
        <f aca="false">INT((AI4-1)/12)+1</f>
        <v>3</v>
      </c>
      <c r="AJ6" s="29" t="n">
        <f aca="false">INT((AJ4-1)/12)+1</f>
        <v>3</v>
      </c>
      <c r="AK6" s="29" t="n">
        <f aca="false">INT((AK4-1)/12)+1</f>
        <v>3</v>
      </c>
      <c r="AL6" s="29" t="n">
        <f aca="false">INT((AL4-1)/12)+1</f>
        <v>3</v>
      </c>
    </row>
    <row r="7" customFormat="false" ht="15" hidden="false" customHeight="false" outlineLevel="0" collapsed="false">
      <c r="A7" s="5" t="s">
        <v>132</v>
      </c>
      <c r="B7" s="15"/>
      <c r="C7" s="30" t="n">
        <f aca="false">INDEX(Допущения!$C$34:$N$34,MONTH(C5))</f>
        <v>0.8</v>
      </c>
      <c r="D7" s="30" t="n">
        <f aca="false">INDEX(Допущения!$C$34:$N$34,MONTH(D5))</f>
        <v>0.6</v>
      </c>
      <c r="E7" s="30" t="n">
        <f aca="false">INDEX(Допущения!$C$34:$N$34,MONTH(E5))</f>
        <v>0.6</v>
      </c>
      <c r="F7" s="30" t="n">
        <f aca="false">INDEX(Допущения!$C$34:$N$34,MONTH(F5))</f>
        <v>1</v>
      </c>
      <c r="G7" s="30" t="n">
        <f aca="false">INDEX(Допущения!$C$34:$N$34,MONTH(G5))</f>
        <v>1.1</v>
      </c>
      <c r="H7" s="30" t="n">
        <f aca="false">INDEX(Допущения!$C$34:$N$34,MONTH(H5))</f>
        <v>1.2</v>
      </c>
      <c r="I7" s="30" t="n">
        <f aca="false">INDEX(Допущения!$C$34:$N$34,MONTH(I5))</f>
        <v>1.3</v>
      </c>
      <c r="J7" s="30" t="n">
        <f aca="false">INDEX(Допущения!$C$34:$N$34,MONTH(J5))</f>
        <v>0.8</v>
      </c>
      <c r="K7" s="30" t="n">
        <f aca="false">INDEX(Допущения!$C$34:$N$34,MONTH(K5))</f>
        <v>0.9</v>
      </c>
      <c r="L7" s="30" t="n">
        <f aca="false">INDEX(Допущения!$C$34:$N$34,MONTH(L5))</f>
        <v>1</v>
      </c>
      <c r="M7" s="30" t="n">
        <f aca="false">INDEX(Допущения!$C$34:$N$34,MONTH(M5))</f>
        <v>1</v>
      </c>
      <c r="N7" s="30" t="n">
        <f aca="false">INDEX(Допущения!$C$34:$N$34,MONTH(N5))</f>
        <v>1</v>
      </c>
      <c r="O7" s="30" t="n">
        <f aca="false">INDEX(Допущения!$C$34:$N$34,MONTH(O5))</f>
        <v>0.8</v>
      </c>
      <c r="P7" s="30" t="n">
        <f aca="false">INDEX(Допущения!$C$34:$N$34,MONTH(P5))</f>
        <v>0.6</v>
      </c>
      <c r="Q7" s="30" t="n">
        <f aca="false">INDEX(Допущения!$C$34:$N$34,MONTH(Q5))</f>
        <v>0.6</v>
      </c>
      <c r="R7" s="30" t="n">
        <f aca="false">INDEX(Допущения!$C$34:$N$34,MONTH(R5))</f>
        <v>1</v>
      </c>
      <c r="S7" s="30" t="n">
        <f aca="false">INDEX(Допущения!$C$34:$N$34,MONTH(S5))</f>
        <v>1.1</v>
      </c>
      <c r="T7" s="30" t="n">
        <f aca="false">INDEX(Допущения!$C$34:$N$34,MONTH(T5))</f>
        <v>1.2</v>
      </c>
      <c r="U7" s="30" t="n">
        <f aca="false">INDEX(Допущения!$C$34:$N$34,MONTH(U5))</f>
        <v>1.3</v>
      </c>
      <c r="V7" s="30" t="n">
        <f aca="false">INDEX(Допущения!$C$34:$N$34,MONTH(V5))</f>
        <v>0.8</v>
      </c>
      <c r="W7" s="30" t="n">
        <f aca="false">INDEX(Допущения!$C$34:$N$34,MONTH(W5))</f>
        <v>0.9</v>
      </c>
      <c r="X7" s="30" t="n">
        <f aca="false">INDEX(Допущения!$C$34:$N$34,MONTH(X5))</f>
        <v>1</v>
      </c>
      <c r="Y7" s="30" t="n">
        <f aca="false">INDEX(Допущения!$C$34:$N$34,MONTH(Y5))</f>
        <v>1</v>
      </c>
      <c r="Z7" s="30" t="n">
        <f aca="false">INDEX(Допущения!$C$34:$N$34,MONTH(Z5))</f>
        <v>1</v>
      </c>
      <c r="AA7" s="30" t="n">
        <f aca="false">INDEX(Допущения!$C$34:$N$34,MONTH(AA5))</f>
        <v>0.8</v>
      </c>
      <c r="AB7" s="30" t="n">
        <f aca="false">INDEX(Допущения!$C$34:$N$34,MONTH(AB5))</f>
        <v>0.6</v>
      </c>
      <c r="AC7" s="30" t="n">
        <f aca="false">INDEX(Допущения!$C$34:$N$34,MONTH(AC5))</f>
        <v>0.6</v>
      </c>
      <c r="AD7" s="30" t="n">
        <f aca="false">INDEX(Допущения!$C$34:$N$34,MONTH(AD5))</f>
        <v>1</v>
      </c>
      <c r="AE7" s="30" t="n">
        <f aca="false">INDEX(Допущения!$C$34:$N$34,MONTH(AE5))</f>
        <v>1.1</v>
      </c>
      <c r="AF7" s="30" t="n">
        <f aca="false">INDEX(Допущения!$C$34:$N$34,MONTH(AF5))</f>
        <v>1.2</v>
      </c>
      <c r="AG7" s="30" t="n">
        <f aca="false">INDEX(Допущения!$C$34:$N$34,MONTH(AG5))</f>
        <v>1.3</v>
      </c>
      <c r="AH7" s="30" t="n">
        <f aca="false">INDEX(Допущения!$C$34:$N$34,MONTH(AH5))</f>
        <v>0.8</v>
      </c>
      <c r="AI7" s="30" t="n">
        <f aca="false">INDEX(Допущения!$C$34:$N$34,MONTH(AI5))</f>
        <v>0.9</v>
      </c>
      <c r="AJ7" s="30" t="n">
        <f aca="false">INDEX(Допущения!$C$34:$N$34,MONTH(AJ5))</f>
        <v>1</v>
      </c>
      <c r="AK7" s="30" t="n">
        <f aca="false">INDEX(Допущения!$C$34:$N$34,MONTH(AK5))</f>
        <v>1</v>
      </c>
      <c r="AL7" s="30" t="n">
        <f aca="false">INDEX(Допущения!$C$34:$N$34,MONTH(AL5))</f>
        <v>1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customFormat="false" ht="15" hidden="false" customHeight="false" outlineLevel="0" collapsed="false">
      <c r="A9" s="4" t="s">
        <v>133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customFormat="false" ht="15" hidden="false" customHeight="false" outlineLevel="0" collapsed="false">
      <c r="A10" s="6" t="s">
        <v>134</v>
      </c>
      <c r="B10" s="3" t="s">
        <v>67</v>
      </c>
      <c r="C10" s="16" t="n">
        <f aca="false">CHOOSE(C$6,Допущения!$C$24,Допущения!$C$25,Допущения!$C$26)</f>
        <v>1.5</v>
      </c>
      <c r="D10" s="16" t="n">
        <f aca="false">CHOOSE(D$6,Допущения!$C$24,Допущения!$C$25,Допущения!$C$26)</f>
        <v>1.5</v>
      </c>
      <c r="E10" s="16" t="n">
        <f aca="false">CHOOSE(E$6,Допущения!$C$24,Допущения!$C$25,Допущения!$C$26)</f>
        <v>1.5</v>
      </c>
      <c r="F10" s="16" t="n">
        <f aca="false">CHOOSE(F$6,Допущения!$C$24,Допущения!$C$25,Допущения!$C$26)</f>
        <v>1.5</v>
      </c>
      <c r="G10" s="16" t="n">
        <f aca="false">CHOOSE(G$6,Допущения!$C$24,Допущения!$C$25,Допущения!$C$26)</f>
        <v>1.5</v>
      </c>
      <c r="H10" s="16" t="n">
        <f aca="false">CHOOSE(H$6,Допущения!$C$24,Допущения!$C$25,Допущения!$C$26)</f>
        <v>1.5</v>
      </c>
      <c r="I10" s="16" t="n">
        <f aca="false">CHOOSE(I$6,Допущения!$C$24,Допущения!$C$25,Допущения!$C$26)</f>
        <v>1.5</v>
      </c>
      <c r="J10" s="16" t="n">
        <f aca="false">CHOOSE(J$6,Допущения!$C$24,Допущения!$C$25,Допущения!$C$26)</f>
        <v>1.5</v>
      </c>
      <c r="K10" s="16" t="n">
        <f aca="false">CHOOSE(K$6,Допущения!$C$24,Допущения!$C$25,Допущения!$C$26)</f>
        <v>1.5</v>
      </c>
      <c r="L10" s="16" t="n">
        <f aca="false">CHOOSE(L$6,Допущения!$C$24,Допущения!$C$25,Допущения!$C$26)</f>
        <v>1.5</v>
      </c>
      <c r="M10" s="16" t="n">
        <f aca="false">CHOOSE(M$6,Допущения!$C$24,Допущения!$C$25,Допущения!$C$26)</f>
        <v>1.5</v>
      </c>
      <c r="N10" s="16" t="n">
        <f aca="false">CHOOSE(N$6,Допущения!$C$24,Допущения!$C$25,Допущения!$C$26)</f>
        <v>1.5</v>
      </c>
      <c r="O10" s="16" t="n">
        <f aca="false">CHOOSE(O$6,Допущения!$C$24,Допущения!$C$25,Допущения!$C$26)</f>
        <v>3</v>
      </c>
      <c r="P10" s="16" t="n">
        <f aca="false">CHOOSE(P$6,Допущения!$C$24,Допущения!$C$25,Допущения!$C$26)</f>
        <v>3</v>
      </c>
      <c r="Q10" s="16" t="n">
        <f aca="false">CHOOSE(Q$6,Допущения!$C$24,Допущения!$C$25,Допущения!$C$26)</f>
        <v>3</v>
      </c>
      <c r="R10" s="16" t="n">
        <f aca="false">CHOOSE(R$6,Допущения!$C$24,Допущения!$C$25,Допущения!$C$26)</f>
        <v>3</v>
      </c>
      <c r="S10" s="16" t="n">
        <f aca="false">CHOOSE(S$6,Допущения!$C$24,Допущения!$C$25,Допущения!$C$26)</f>
        <v>3</v>
      </c>
      <c r="T10" s="16" t="n">
        <f aca="false">CHOOSE(T$6,Допущения!$C$24,Допущения!$C$25,Допущения!$C$26)</f>
        <v>3</v>
      </c>
      <c r="U10" s="16" t="n">
        <f aca="false">CHOOSE(U$6,Допущения!$C$24,Допущения!$C$25,Допущения!$C$26)</f>
        <v>3</v>
      </c>
      <c r="V10" s="16" t="n">
        <f aca="false">CHOOSE(V$6,Допущения!$C$24,Допущения!$C$25,Допущения!$C$26)</f>
        <v>3</v>
      </c>
      <c r="W10" s="16" t="n">
        <f aca="false">CHOOSE(W$6,Допущения!$C$24,Допущения!$C$25,Допущения!$C$26)</f>
        <v>3</v>
      </c>
      <c r="X10" s="16" t="n">
        <f aca="false">CHOOSE(X$6,Допущения!$C$24,Допущения!$C$25,Допущения!$C$26)</f>
        <v>3</v>
      </c>
      <c r="Y10" s="16" t="n">
        <f aca="false">CHOOSE(Y$6,Допущения!$C$24,Допущения!$C$25,Допущения!$C$26)</f>
        <v>3</v>
      </c>
      <c r="Z10" s="16" t="n">
        <f aca="false">CHOOSE(Z$6,Допущения!$C$24,Допущения!$C$25,Допущения!$C$26)</f>
        <v>3</v>
      </c>
      <c r="AA10" s="16" t="n">
        <f aca="false">CHOOSE(AA$6,Допущения!$C$24,Допущения!$C$25,Допущения!$C$26)</f>
        <v>4</v>
      </c>
      <c r="AB10" s="16" t="n">
        <f aca="false">CHOOSE(AB$6,Допущения!$C$24,Допущения!$C$25,Допущения!$C$26)</f>
        <v>4</v>
      </c>
      <c r="AC10" s="16" t="n">
        <f aca="false">CHOOSE(AC$6,Допущения!$C$24,Допущения!$C$25,Допущения!$C$26)</f>
        <v>4</v>
      </c>
      <c r="AD10" s="16" t="n">
        <f aca="false">CHOOSE(AD$6,Допущения!$C$24,Допущения!$C$25,Допущения!$C$26)</f>
        <v>4</v>
      </c>
      <c r="AE10" s="16" t="n">
        <f aca="false">CHOOSE(AE$6,Допущения!$C$24,Допущения!$C$25,Допущения!$C$26)</f>
        <v>4</v>
      </c>
      <c r="AF10" s="16" t="n">
        <f aca="false">CHOOSE(AF$6,Допущения!$C$24,Допущения!$C$25,Допущения!$C$26)</f>
        <v>4</v>
      </c>
      <c r="AG10" s="16" t="n">
        <f aca="false">CHOOSE(AG$6,Допущения!$C$24,Допущения!$C$25,Допущения!$C$26)</f>
        <v>4</v>
      </c>
      <c r="AH10" s="16" t="n">
        <f aca="false">CHOOSE(AH$6,Допущения!$C$24,Допущения!$C$25,Допущения!$C$26)</f>
        <v>4</v>
      </c>
      <c r="AI10" s="16" t="n">
        <f aca="false">CHOOSE(AI$6,Допущения!$C$24,Допущения!$C$25,Допущения!$C$26)</f>
        <v>4</v>
      </c>
      <c r="AJ10" s="16" t="n">
        <f aca="false">CHOOSE(AJ$6,Допущения!$C$24,Допущения!$C$25,Допущения!$C$26)</f>
        <v>4</v>
      </c>
      <c r="AK10" s="16" t="n">
        <f aca="false">CHOOSE(AK$6,Допущения!$C$24,Допущения!$C$25,Допущения!$C$26)</f>
        <v>4</v>
      </c>
      <c r="AL10" s="16" t="n">
        <f aca="false">CHOOSE(AL$6,Допущения!$C$24,Допущения!$C$25,Допущения!$C$26)</f>
        <v>4</v>
      </c>
    </row>
    <row r="11" customFormat="false" ht="15" hidden="false" customHeight="false" outlineLevel="0" collapsed="false">
      <c r="A11" s="6" t="s">
        <v>135</v>
      </c>
      <c r="B11" s="3" t="s">
        <v>67</v>
      </c>
      <c r="C11" s="16" t="n">
        <f aca="false">0</f>
        <v>0</v>
      </c>
      <c r="D11" s="16" t="n">
        <f aca="false">C12*Допущения!$C$27</f>
        <v>0.09</v>
      </c>
      <c r="E11" s="16" t="n">
        <f aca="false">D12*Допущения!$C$27</f>
        <v>0.1746</v>
      </c>
      <c r="F11" s="16" t="n">
        <f aca="false">E12*Допущения!$C$27</f>
        <v>0.254124</v>
      </c>
      <c r="G11" s="16" t="n">
        <f aca="false">F12*Допущения!$C$27</f>
        <v>0.32887656</v>
      </c>
      <c r="H11" s="16" t="n">
        <f aca="false">G12*Допущения!$C$27</f>
        <v>0.3991439664</v>
      </c>
      <c r="I11" s="16" t="n">
        <f aca="false">H12*Допущения!$C$27</f>
        <v>0.465195328416</v>
      </c>
      <c r="J11" s="16" t="n">
        <f aca="false">I12*Допущения!$C$27</f>
        <v>0.52728360871104</v>
      </c>
      <c r="K11" s="16" t="n">
        <f aca="false">J12*Допущения!$C$27</f>
        <v>0.585646592188378</v>
      </c>
      <c r="L11" s="16" t="n">
        <f aca="false">K12*Допущения!$C$27</f>
        <v>0.640507796657075</v>
      </c>
      <c r="M11" s="16" t="n">
        <f aca="false">L12*Допущения!$C$27</f>
        <v>0.692077328857651</v>
      </c>
      <c r="N11" s="16" t="n">
        <f aca="false">M12*Допущения!$C$27</f>
        <v>0.740552689126192</v>
      </c>
      <c r="O11" s="16" t="n">
        <f aca="false">N12*Допущения!$C$27</f>
        <v>0.78611952777862</v>
      </c>
      <c r="P11" s="16" t="n">
        <f aca="false">O12*Допущения!$C$27</f>
        <v>0.918952356111903</v>
      </c>
      <c r="Q11" s="16" t="n">
        <f aca="false">P12*Допущения!$C$27</f>
        <v>1.04381521474519</v>
      </c>
      <c r="R11" s="16" t="n">
        <f aca="false">Q12*Допущения!$C$27</f>
        <v>1.16118630186048</v>
      </c>
      <c r="S11" s="16" t="n">
        <f aca="false">R12*Допущения!$C$27</f>
        <v>1.27151512374885</v>
      </c>
      <c r="T11" s="16" t="n">
        <f aca="false">S12*Допущения!$C$27</f>
        <v>1.37522421632392</v>
      </c>
      <c r="U11" s="16" t="n">
        <f aca="false">T12*Допущения!$C$27</f>
        <v>1.47271076334448</v>
      </c>
      <c r="V11" s="16" t="n">
        <f aca="false">U12*Допущения!$C$27</f>
        <v>1.56434811754381</v>
      </c>
      <c r="W11" s="16" t="n">
        <f aca="false">V12*Допущения!$C$27</f>
        <v>1.65048723049118</v>
      </c>
      <c r="X11" s="16" t="n">
        <f aca="false">W12*Допущения!$C$27</f>
        <v>1.73145799666171</v>
      </c>
      <c r="Y11" s="16" t="n">
        <f aca="false">X12*Допущения!$C$27</f>
        <v>1.80757051686201</v>
      </c>
      <c r="Z11" s="16" t="n">
        <f aca="false">Y12*Допущения!$C$27</f>
        <v>1.87911628585029</v>
      </c>
      <c r="AA11" s="16" t="n">
        <f aca="false">Z12*Допущения!$C$27</f>
        <v>1.94636930869927</v>
      </c>
      <c r="AB11" s="16" t="n">
        <f aca="false">AA12*Допущения!$C$27</f>
        <v>2.06958715017732</v>
      </c>
      <c r="AC11" s="16" t="n">
        <f aca="false">AB12*Допущения!$C$27</f>
        <v>2.18541192116668</v>
      </c>
      <c r="AD11" s="16" t="n">
        <f aca="false">AC12*Допущения!$C$27</f>
        <v>2.29428720589668</v>
      </c>
      <c r="AE11" s="16" t="n">
        <f aca="false">AD12*Допущения!$C$27</f>
        <v>2.39662997354288</v>
      </c>
      <c r="AF11" s="16" t="n">
        <f aca="false">AE12*Допущения!$C$27</f>
        <v>2.4928321751303</v>
      </c>
      <c r="AG11" s="16" t="n">
        <f aca="false">AF12*Допущения!$C$27</f>
        <v>2.58326224462249</v>
      </c>
      <c r="AH11" s="16" t="n">
        <f aca="false">AG12*Допущения!$C$27</f>
        <v>2.66826650994514</v>
      </c>
      <c r="AI11" s="16" t="n">
        <f aca="false">AH12*Допущения!$C$27</f>
        <v>2.74817051934843</v>
      </c>
      <c r="AJ11" s="16" t="n">
        <f aca="false">AI12*Допущения!$C$27</f>
        <v>2.82328028818752</v>
      </c>
      <c r="AK11" s="16" t="n">
        <f aca="false">AJ12*Допущения!$C$27</f>
        <v>2.89388347089627</v>
      </c>
      <c r="AL11" s="16" t="n">
        <f aca="false">AK12*Допущения!$C$27</f>
        <v>2.9602504626425</v>
      </c>
    </row>
    <row r="12" customFormat="false" ht="15" hidden="false" customHeight="false" outlineLevel="0" collapsed="false">
      <c r="A12" s="6" t="s">
        <v>136</v>
      </c>
      <c r="B12" s="3" t="s">
        <v>67</v>
      </c>
      <c r="C12" s="16" t="n">
        <f aca="false">C10</f>
        <v>1.5</v>
      </c>
      <c r="D12" s="16" t="n">
        <f aca="false">C12+D10-D11</f>
        <v>2.91</v>
      </c>
      <c r="E12" s="16" t="n">
        <f aca="false">D12+E10-E11</f>
        <v>4.2354</v>
      </c>
      <c r="F12" s="16" t="n">
        <f aca="false">E12+F10-F11</f>
        <v>5.481276</v>
      </c>
      <c r="G12" s="16" t="n">
        <f aca="false">F12+G10-G11</f>
        <v>6.65239944</v>
      </c>
      <c r="H12" s="16" t="n">
        <f aca="false">G12+H10-H11</f>
        <v>7.7532554736</v>
      </c>
      <c r="I12" s="16" t="n">
        <f aca="false">H12+I10-I11</f>
        <v>8.788060145184</v>
      </c>
      <c r="J12" s="16" t="n">
        <f aca="false">I12+J10-J11</f>
        <v>9.76077653647296</v>
      </c>
      <c r="K12" s="16" t="n">
        <f aca="false">J12+K10-K11</f>
        <v>10.6751299442846</v>
      </c>
      <c r="L12" s="16" t="n">
        <f aca="false">K12+L10-L11</f>
        <v>11.5346221476275</v>
      </c>
      <c r="M12" s="16" t="n">
        <f aca="false">L12+M10-M11</f>
        <v>12.3425448187699</v>
      </c>
      <c r="N12" s="16" t="n">
        <f aca="false">M12+N10-N11</f>
        <v>13.1019921296437</v>
      </c>
      <c r="O12" s="16" t="n">
        <f aca="false">N12+O10-O11</f>
        <v>15.315872601865</v>
      </c>
      <c r="P12" s="16" t="n">
        <f aca="false">O12+P10-P11</f>
        <v>17.3969202457531</v>
      </c>
      <c r="Q12" s="16" t="n">
        <f aca="false">P12+Q10-Q11</f>
        <v>19.353105031008</v>
      </c>
      <c r="R12" s="16" t="n">
        <f aca="false">Q12+R10-R11</f>
        <v>21.1919187291475</v>
      </c>
      <c r="S12" s="16" t="n">
        <f aca="false">R12+S10-S11</f>
        <v>22.9204036053986</v>
      </c>
      <c r="T12" s="16" t="n">
        <f aca="false">S12+T10-T11</f>
        <v>24.5451793890747</v>
      </c>
      <c r="U12" s="16" t="n">
        <f aca="false">T12+U10-U11</f>
        <v>26.0724686257302</v>
      </c>
      <c r="V12" s="16" t="n">
        <f aca="false">U12+V10-V11</f>
        <v>27.5081205081864</v>
      </c>
      <c r="W12" s="16" t="n">
        <f aca="false">V12+W10-W11</f>
        <v>28.8576332776952</v>
      </c>
      <c r="X12" s="16" t="n">
        <f aca="false">W12+X10-X11</f>
        <v>30.1261752810335</v>
      </c>
      <c r="Y12" s="16" t="n">
        <f aca="false">X12+Y10-Y11</f>
        <v>31.3186047641715</v>
      </c>
      <c r="Z12" s="16" t="n">
        <f aca="false">Y12+Z10-Z11</f>
        <v>32.4394884783212</v>
      </c>
      <c r="AA12" s="16" t="n">
        <f aca="false">Z12+AA10-AA11</f>
        <v>34.493119169622</v>
      </c>
      <c r="AB12" s="16" t="n">
        <f aca="false">AA12+AB10-AB11</f>
        <v>36.4235320194446</v>
      </c>
      <c r="AC12" s="16" t="n">
        <f aca="false">AB12+AC10-AC11</f>
        <v>38.238120098278</v>
      </c>
      <c r="AD12" s="16" t="n">
        <f aca="false">AC12+AD10-AD11</f>
        <v>39.9438328923813</v>
      </c>
      <c r="AE12" s="16" t="n">
        <f aca="false">AD12+AE10-AE11</f>
        <v>41.5472029188384</v>
      </c>
      <c r="AF12" s="16" t="n">
        <f aca="false">AE12+AF10-AF11</f>
        <v>43.0543707437081</v>
      </c>
      <c r="AG12" s="16" t="n">
        <f aca="false">AF12+AG10-AG11</f>
        <v>44.4711084990856</v>
      </c>
      <c r="AH12" s="16" t="n">
        <f aca="false">AG12+AH10-AH11</f>
        <v>45.8028419891405</v>
      </c>
      <c r="AI12" s="16" t="n">
        <f aca="false">AH12+AI10-AI11</f>
        <v>47.054671469792</v>
      </c>
      <c r="AJ12" s="16" t="n">
        <f aca="false">AI12+AJ10-AJ11</f>
        <v>48.2313911816045</v>
      </c>
      <c r="AK12" s="16" t="n">
        <f aca="false">AJ12+AK10-AK11</f>
        <v>49.3375077107083</v>
      </c>
      <c r="AL12" s="16" t="n">
        <f aca="false">AK12+AL10-AL11</f>
        <v>50.3772572480658</v>
      </c>
    </row>
    <row r="13" customFormat="false" ht="15" hidden="false" customHeight="false" outlineLevel="0" collapsed="false">
      <c r="A13" s="6" t="s">
        <v>137</v>
      </c>
      <c r="B13" s="3" t="s">
        <v>67</v>
      </c>
      <c r="C13" s="16" t="n">
        <f aca="false">C12*Допущения!$C$28*C$7</f>
        <v>1.2</v>
      </c>
      <c r="D13" s="16" t="n">
        <f aca="false">D12*Допущения!$C$28*D$7</f>
        <v>1.746</v>
      </c>
      <c r="E13" s="16" t="n">
        <f aca="false">E12*Допущения!$C$28*E$7</f>
        <v>2.54124</v>
      </c>
      <c r="F13" s="16" t="n">
        <f aca="false">F12*Допущения!$C$28*F$7</f>
        <v>5.481276</v>
      </c>
      <c r="G13" s="16" t="n">
        <f aca="false">G12*Допущения!$C$28*G$7</f>
        <v>7.317639384</v>
      </c>
      <c r="H13" s="16" t="n">
        <f aca="false">H12*Допущения!$C$28*H$7</f>
        <v>9.30390656832</v>
      </c>
      <c r="I13" s="16" t="n">
        <f aca="false">I12*Допущения!$C$28*I$7</f>
        <v>11.4244781887392</v>
      </c>
      <c r="J13" s="16" t="n">
        <f aca="false">J12*Допущения!$C$28*J$7</f>
        <v>7.80862122917837</v>
      </c>
      <c r="K13" s="16" t="n">
        <f aca="false">K12*Допущения!$C$28*K$7</f>
        <v>9.60761694985613</v>
      </c>
      <c r="L13" s="16" t="n">
        <f aca="false">L12*Допущения!$C$28*L$7</f>
        <v>11.5346221476275</v>
      </c>
      <c r="M13" s="16" t="n">
        <f aca="false">M12*Допущения!$C$28*M$7</f>
        <v>12.3425448187699</v>
      </c>
      <c r="N13" s="16" t="n">
        <f aca="false">N12*Допущения!$C$28*N$7</f>
        <v>13.1019921296437</v>
      </c>
      <c r="O13" s="16" t="n">
        <f aca="false">O12*Допущения!$C$28*O$7</f>
        <v>12.252698081492</v>
      </c>
      <c r="P13" s="16" t="n">
        <f aca="false">P12*Допущения!$C$28*P$7</f>
        <v>10.4381521474519</v>
      </c>
      <c r="Q13" s="16" t="n">
        <f aca="false">Q12*Допущения!$C$28*Q$7</f>
        <v>11.6118630186048</v>
      </c>
      <c r="R13" s="16" t="n">
        <f aca="false">R12*Допущения!$C$28*R$7</f>
        <v>21.1919187291475</v>
      </c>
      <c r="S13" s="16" t="n">
        <f aca="false">S12*Допущения!$C$28*S$7</f>
        <v>25.2124439659385</v>
      </c>
      <c r="T13" s="16" t="n">
        <f aca="false">T12*Допущения!$C$28*T$7</f>
        <v>29.4542152668897</v>
      </c>
      <c r="U13" s="16" t="n">
        <f aca="false">U12*Допущения!$C$28*U$7</f>
        <v>33.8942092134493</v>
      </c>
      <c r="V13" s="16" t="n">
        <f aca="false">V12*Допущения!$C$28*V$7</f>
        <v>22.0064964065491</v>
      </c>
      <c r="W13" s="16" t="n">
        <f aca="false">W12*Допущения!$C$28*W$7</f>
        <v>25.9718699499257</v>
      </c>
      <c r="X13" s="16" t="n">
        <f aca="false">X12*Допущения!$C$28*X$7</f>
        <v>30.1261752810335</v>
      </c>
      <c r="Y13" s="16" t="n">
        <f aca="false">Y12*Допущения!$C$28*Y$7</f>
        <v>31.3186047641715</v>
      </c>
      <c r="Z13" s="16" t="n">
        <f aca="false">Z12*Допущения!$C$28*Z$7</f>
        <v>32.4394884783212</v>
      </c>
      <c r="AA13" s="16" t="n">
        <f aca="false">AA12*Допущения!$C$28*AA$7</f>
        <v>27.5944953356976</v>
      </c>
      <c r="AB13" s="16" t="n">
        <f aca="false">AB12*Допущения!$C$28*AB$7</f>
        <v>21.8541192116668</v>
      </c>
      <c r="AC13" s="16" t="n">
        <f aca="false">AC12*Допущения!$C$28*AC$7</f>
        <v>22.9428720589668</v>
      </c>
      <c r="AD13" s="16" t="n">
        <f aca="false">AD12*Допущения!$C$28*AD$7</f>
        <v>39.9438328923813</v>
      </c>
      <c r="AE13" s="16" t="n">
        <f aca="false">AE12*Допущения!$C$28*AE$7</f>
        <v>45.7019232107222</v>
      </c>
      <c r="AF13" s="16" t="n">
        <f aca="false">AF12*Допущения!$C$28*AF$7</f>
        <v>51.6652448924497</v>
      </c>
      <c r="AG13" s="16" t="n">
        <f aca="false">AG12*Допущения!$C$28*AG$7</f>
        <v>57.8124410488113</v>
      </c>
      <c r="AH13" s="16" t="n">
        <f aca="false">AH12*Допущения!$C$28*AH$7</f>
        <v>36.6422735913124</v>
      </c>
      <c r="AI13" s="16" t="n">
        <f aca="false">AI12*Допущения!$C$28*AI$7</f>
        <v>42.3492043228128</v>
      </c>
      <c r="AJ13" s="16" t="n">
        <f aca="false">AJ12*Допущения!$C$28*AJ$7</f>
        <v>48.2313911816045</v>
      </c>
      <c r="AK13" s="16" t="n">
        <f aca="false">AK12*Допущения!$C$28*AK$7</f>
        <v>49.3375077107083</v>
      </c>
      <c r="AL13" s="16" t="n">
        <f aca="false">AL12*Допущения!$C$28*AL$7</f>
        <v>50.3772572480658</v>
      </c>
    </row>
    <row r="14" customFormat="false" ht="15" hidden="false" customHeight="false" outlineLevel="0" collapsed="false">
      <c r="A14" s="6" t="s">
        <v>10</v>
      </c>
      <c r="B14" s="3" t="s">
        <v>67</v>
      </c>
      <c r="C14" s="12" t="n">
        <f aca="false">C13*Допущения!$C$29</f>
        <v>108</v>
      </c>
      <c r="D14" s="12" t="n">
        <f aca="false">D13*Допущения!$C$29</f>
        <v>157.14</v>
      </c>
      <c r="E14" s="12" t="n">
        <f aca="false">E13*Допущения!$C$29</f>
        <v>228.7116</v>
      </c>
      <c r="F14" s="12" t="n">
        <f aca="false">F13*Допущения!$C$29</f>
        <v>493.31484</v>
      </c>
      <c r="G14" s="12" t="n">
        <f aca="false">G13*Допущения!$C$29</f>
        <v>658.58754456</v>
      </c>
      <c r="H14" s="12" t="n">
        <f aca="false">H13*Допущения!$C$29</f>
        <v>837.3515911488</v>
      </c>
      <c r="I14" s="12" t="n">
        <f aca="false">I13*Допущения!$C$29</f>
        <v>1028.20303698653</v>
      </c>
      <c r="J14" s="12" t="n">
        <f aca="false">J13*Допущения!$C$29</f>
        <v>702.775910626053</v>
      </c>
      <c r="K14" s="12" t="n">
        <f aca="false">K13*Допущения!$C$29</f>
        <v>864.685525487051</v>
      </c>
      <c r="L14" s="12" t="n">
        <f aca="false">L13*Допущения!$C$29</f>
        <v>1038.11599328648</v>
      </c>
      <c r="M14" s="12" t="n">
        <f aca="false">M13*Допущения!$C$29</f>
        <v>1110.82903368929</v>
      </c>
      <c r="N14" s="12" t="n">
        <f aca="false">N13*Допущения!$C$29</f>
        <v>1179.17929166793</v>
      </c>
      <c r="O14" s="12" t="n">
        <f aca="false">O13*Допущения!$C$29</f>
        <v>1102.74282733428</v>
      </c>
      <c r="P14" s="12" t="n">
        <f aca="false">P13*Допущения!$C$29</f>
        <v>939.43369327067</v>
      </c>
      <c r="Q14" s="12" t="n">
        <f aca="false">Q13*Допущения!$C$29</f>
        <v>1045.06767167443</v>
      </c>
      <c r="R14" s="12" t="n">
        <f aca="false">R13*Допущения!$C$29</f>
        <v>1907.27268562327</v>
      </c>
      <c r="S14" s="12" t="n">
        <f aca="false">S13*Допущения!$C$29</f>
        <v>2269.11995693447</v>
      </c>
      <c r="T14" s="12" t="n">
        <f aca="false">T13*Допущения!$C$29</f>
        <v>2650.87937402007</v>
      </c>
      <c r="U14" s="12" t="n">
        <f aca="false">U13*Допущения!$C$29</f>
        <v>3050.47882921044</v>
      </c>
      <c r="V14" s="12" t="n">
        <f aca="false">V13*Допущения!$C$29</f>
        <v>1980.58467658942</v>
      </c>
      <c r="W14" s="12" t="n">
        <f aca="false">W13*Допущения!$C$29</f>
        <v>2337.46829549331</v>
      </c>
      <c r="X14" s="12" t="n">
        <f aca="false">X13*Допущения!$C$29</f>
        <v>2711.35577529302</v>
      </c>
      <c r="Y14" s="12" t="n">
        <f aca="false">Y13*Допущения!$C$29</f>
        <v>2818.67442877544</v>
      </c>
      <c r="Z14" s="12" t="n">
        <f aca="false">Z13*Допущения!$C$29</f>
        <v>2919.55396304891</v>
      </c>
      <c r="AA14" s="12" t="n">
        <f aca="false">AA13*Допущения!$C$29</f>
        <v>2483.50458021278</v>
      </c>
      <c r="AB14" s="12" t="n">
        <f aca="false">AB13*Допущения!$C$29</f>
        <v>1966.87072905001</v>
      </c>
      <c r="AC14" s="12" t="n">
        <f aca="false">AC13*Допущения!$C$29</f>
        <v>2064.85848530701</v>
      </c>
      <c r="AD14" s="12" t="n">
        <f aca="false">AD13*Допущения!$C$29</f>
        <v>3594.94496031432</v>
      </c>
      <c r="AE14" s="12" t="n">
        <f aca="false">AE13*Допущения!$C$29</f>
        <v>4113.173088965</v>
      </c>
      <c r="AF14" s="12" t="n">
        <f aca="false">AF13*Допущения!$C$29</f>
        <v>4649.87204032047</v>
      </c>
      <c r="AG14" s="12" t="n">
        <f aca="false">AG13*Допущения!$C$29</f>
        <v>5203.11969439302</v>
      </c>
      <c r="AH14" s="12" t="n">
        <f aca="false">AH13*Допущения!$C$29</f>
        <v>3297.80462321811</v>
      </c>
      <c r="AI14" s="12" t="n">
        <f aca="false">AI13*Допущения!$C$29</f>
        <v>3811.42838905316</v>
      </c>
      <c r="AJ14" s="12" t="n">
        <f aca="false">AJ13*Допущения!$C$29</f>
        <v>4340.82520634441</v>
      </c>
      <c r="AK14" s="12" t="n">
        <f aca="false">AK13*Допущения!$C$29</f>
        <v>4440.37569396374</v>
      </c>
      <c r="AL14" s="12" t="n">
        <f aca="false">AL13*Допущения!$C$29</f>
        <v>4533.95315232592</v>
      </c>
    </row>
    <row r="15" customFormat="false" ht="15" hidden="false" customHeight="false" outlineLevel="0" collapsed="false">
      <c r="A15" s="6" t="s">
        <v>138</v>
      </c>
      <c r="B15" s="3" t="s">
        <v>67</v>
      </c>
      <c r="C15" s="12" t="n">
        <f aca="false">C14*(1-Допущения!$C$12)</f>
        <v>97.2</v>
      </c>
      <c r="D15" s="12" t="n">
        <f aca="false">D14*(1-Допущения!$C$12)</f>
        <v>141.426</v>
      </c>
      <c r="E15" s="12" t="n">
        <f aca="false">E14*(1-Допущения!$C$12)</f>
        <v>205.84044</v>
      </c>
      <c r="F15" s="12" t="n">
        <f aca="false">F14*(1-Допущения!$C$12)</f>
        <v>443.983356</v>
      </c>
      <c r="G15" s="12" t="n">
        <f aca="false">G14*(1-Допущения!$C$12)</f>
        <v>592.728790104</v>
      </c>
      <c r="H15" s="12" t="n">
        <f aca="false">H14*(1-Допущения!$C$12)</f>
        <v>753.61643203392</v>
      </c>
      <c r="I15" s="12" t="n">
        <f aca="false">I14*(1-Допущения!$C$12)</f>
        <v>925.382733287875</v>
      </c>
      <c r="J15" s="12" t="n">
        <f aca="false">J14*(1-Допущения!$C$12)</f>
        <v>632.498319563448</v>
      </c>
      <c r="K15" s="12" t="n">
        <f aca="false">K14*(1-Допущения!$C$12)</f>
        <v>778.216972938346</v>
      </c>
      <c r="L15" s="12" t="n">
        <f aca="false">L14*(1-Допущения!$C$12)</f>
        <v>934.304393957828</v>
      </c>
      <c r="M15" s="12" t="n">
        <f aca="false">M14*(1-Допущения!$C$12)</f>
        <v>999.746130320359</v>
      </c>
      <c r="N15" s="12" t="n">
        <f aca="false">N14*(1-Допущения!$C$12)</f>
        <v>1061.26136250114</v>
      </c>
      <c r="O15" s="12" t="n">
        <f aca="false">O14*(1-Допущения!$C$12)</f>
        <v>992.468544600855</v>
      </c>
      <c r="P15" s="12" t="n">
        <f aca="false">P14*(1-Допущения!$C$12)</f>
        <v>845.490323943603</v>
      </c>
      <c r="Q15" s="12" t="n">
        <f aca="false">Q14*(1-Допущения!$C$12)</f>
        <v>940.560904506987</v>
      </c>
      <c r="R15" s="12" t="n">
        <f aca="false">R14*(1-Допущения!$C$12)</f>
        <v>1716.54541706095</v>
      </c>
      <c r="S15" s="12" t="n">
        <f aca="false">S14*(1-Допущения!$C$12)</f>
        <v>2042.20796124102</v>
      </c>
      <c r="T15" s="12" t="n">
        <f aca="false">T14*(1-Допущения!$C$12)</f>
        <v>2385.79143661806</v>
      </c>
      <c r="U15" s="12" t="n">
        <f aca="false">U14*(1-Допущения!$C$12)</f>
        <v>2745.43094628939</v>
      </c>
      <c r="V15" s="12" t="n">
        <f aca="false">V14*(1-Допущения!$C$12)</f>
        <v>1782.52620893048</v>
      </c>
      <c r="W15" s="12" t="n">
        <f aca="false">W14*(1-Допущения!$C$12)</f>
        <v>2103.72146594398</v>
      </c>
      <c r="X15" s="12" t="n">
        <f aca="false">X14*(1-Допущения!$C$12)</f>
        <v>2440.22019776372</v>
      </c>
      <c r="Y15" s="12" t="n">
        <f aca="false">Y14*(1-Допущения!$C$12)</f>
        <v>2536.80698589789</v>
      </c>
      <c r="Z15" s="12" t="n">
        <f aca="false">Z14*(1-Допущения!$C$12)</f>
        <v>2627.59856674402</v>
      </c>
      <c r="AA15" s="12" t="n">
        <f aca="false">AA14*(1-Допущения!$C$12)</f>
        <v>2235.1541221915</v>
      </c>
      <c r="AB15" s="12" t="n">
        <f aca="false">AB14*(1-Допущения!$C$12)</f>
        <v>1770.18365614501</v>
      </c>
      <c r="AC15" s="12" t="n">
        <f aca="false">AC14*(1-Допущения!$C$12)</f>
        <v>1858.37263677631</v>
      </c>
      <c r="AD15" s="12" t="n">
        <f aca="false">AD14*(1-Допущения!$C$12)</f>
        <v>3235.45046428288</v>
      </c>
      <c r="AE15" s="12" t="n">
        <f aca="false">AE14*(1-Допущения!$C$12)</f>
        <v>3701.8557800685</v>
      </c>
      <c r="AF15" s="12" t="n">
        <f aca="false">AF14*(1-Допущения!$C$12)</f>
        <v>4184.88483628843</v>
      </c>
      <c r="AG15" s="12" t="n">
        <f aca="false">AG14*(1-Допущения!$C$12)</f>
        <v>4682.80772495372</v>
      </c>
      <c r="AH15" s="12" t="n">
        <f aca="false">AH14*(1-Допущения!$C$12)</f>
        <v>2968.0241608963</v>
      </c>
      <c r="AI15" s="12" t="n">
        <f aca="false">AI14*(1-Допущения!$C$12)</f>
        <v>3430.28555014784</v>
      </c>
      <c r="AJ15" s="12" t="n">
        <f aca="false">AJ14*(1-Допущения!$C$12)</f>
        <v>3906.74268570997</v>
      </c>
      <c r="AK15" s="12" t="n">
        <f aca="false">AK14*(1-Допущения!$C$12)</f>
        <v>3996.33812456737</v>
      </c>
      <c r="AL15" s="12" t="n">
        <f aca="false">AL14*(1-Допущения!$C$12)</f>
        <v>4080.55783709333</v>
      </c>
    </row>
    <row r="16" customFormat="false" ht="15" hidden="false" customHeight="false" outlineLevel="0" collapsed="false">
      <c r="A16" s="6" t="s">
        <v>139</v>
      </c>
      <c r="B16" s="3" t="s">
        <v>70</v>
      </c>
      <c r="C16" s="12" t="n">
        <f aca="false">C15*Допущения!$C$22</f>
        <v>486000</v>
      </c>
      <c r="D16" s="12" t="n">
        <f aca="false">D15*Допущения!$C$22</f>
        <v>707130</v>
      </c>
      <c r="E16" s="12" t="n">
        <f aca="false">E15*Допущения!$C$22</f>
        <v>1029202.2</v>
      </c>
      <c r="F16" s="12" t="n">
        <f aca="false">F15*Допущения!$C$22</f>
        <v>2219916.78</v>
      </c>
      <c r="G16" s="12" t="n">
        <f aca="false">G15*Допущения!$C$22</f>
        <v>2963643.95052</v>
      </c>
      <c r="H16" s="12" t="n">
        <f aca="false">H15*Допущения!$C$22</f>
        <v>3768082.1601696</v>
      </c>
      <c r="I16" s="12" t="n">
        <f aca="false">I15*Допущения!$C$22</f>
        <v>4626913.66643938</v>
      </c>
      <c r="J16" s="12" t="n">
        <f aca="false">J15*Допущения!$C$22</f>
        <v>3162491.59781724</v>
      </c>
      <c r="K16" s="12" t="n">
        <f aca="false">K15*Допущения!$C$22</f>
        <v>3891084.86469173</v>
      </c>
      <c r="L16" s="12" t="n">
        <f aca="false">L15*Допущения!$C$22</f>
        <v>4671521.96978914</v>
      </c>
      <c r="M16" s="12" t="n">
        <f aca="false">M15*Допущения!$C$22</f>
        <v>4998730.65160179</v>
      </c>
      <c r="N16" s="12" t="n">
        <f aca="false">N15*Допущения!$C$22</f>
        <v>5306306.81250569</v>
      </c>
      <c r="O16" s="12" t="n">
        <f aca="false">O15*Допущения!$C$22</f>
        <v>4962342.72300428</v>
      </c>
      <c r="P16" s="12" t="n">
        <f aca="false">P15*Допущения!$C$22</f>
        <v>4227451.61971801</v>
      </c>
      <c r="Q16" s="12" t="n">
        <f aca="false">Q15*Допущения!$C$22</f>
        <v>4702804.52253494</v>
      </c>
      <c r="R16" s="12" t="n">
        <f aca="false">R15*Допущения!$C$22</f>
        <v>8582727.08530473</v>
      </c>
      <c r="S16" s="12" t="n">
        <f aca="false">S15*Допущения!$C$22</f>
        <v>10211039.8062051</v>
      </c>
      <c r="T16" s="12" t="n">
        <f aca="false">T15*Допущения!$C$22</f>
        <v>11928957.1830903</v>
      </c>
      <c r="U16" s="12" t="n">
        <f aca="false">U15*Допущения!$C$22</f>
        <v>13727154.731447</v>
      </c>
      <c r="V16" s="12" t="n">
        <f aca="false">V15*Допущения!$C$22</f>
        <v>8912631.0446524</v>
      </c>
      <c r="W16" s="12" t="n">
        <f aca="false">W15*Допущения!$C$22</f>
        <v>10518607.3297199</v>
      </c>
      <c r="X16" s="12" t="n">
        <f aca="false">X15*Допущения!$C$22</f>
        <v>12201100.9888186</v>
      </c>
      <c r="Y16" s="12" t="n">
        <f aca="false">Y15*Допущения!$C$22</f>
        <v>12684034.9294895</v>
      </c>
      <c r="Z16" s="12" t="n">
        <f aca="false">Z15*Допущения!$C$22</f>
        <v>13137992.8337201</v>
      </c>
      <c r="AA16" s="12" t="n">
        <f aca="false">AA15*Допущения!$C$22</f>
        <v>11175770.6109575</v>
      </c>
      <c r="AB16" s="12" t="n">
        <f aca="false">AB15*Допущения!$C$22</f>
        <v>8850918.28072505</v>
      </c>
      <c r="AC16" s="12" t="n">
        <f aca="false">AC15*Допущения!$C$22</f>
        <v>9291863.18388154</v>
      </c>
      <c r="AD16" s="12" t="n">
        <f aca="false">AD15*Допущения!$C$22</f>
        <v>16177252.3214144</v>
      </c>
      <c r="AE16" s="12" t="n">
        <f aca="false">AE15*Допущения!$C$22</f>
        <v>18509278.9003425</v>
      </c>
      <c r="AF16" s="12" t="n">
        <f aca="false">AF15*Допущения!$C$22</f>
        <v>20924424.1814421</v>
      </c>
      <c r="AG16" s="12" t="n">
        <f aca="false">AG15*Допущения!$C$22</f>
        <v>23414038.6247686</v>
      </c>
      <c r="AH16" s="12" t="n">
        <f aca="false">AH15*Допущения!$C$22</f>
        <v>14840120.8044815</v>
      </c>
      <c r="AI16" s="12" t="n">
        <f aca="false">AI15*Допущения!$C$22</f>
        <v>17151427.7507392</v>
      </c>
      <c r="AJ16" s="12" t="n">
        <f aca="false">AJ15*Допущения!$C$22</f>
        <v>19533713.4285498</v>
      </c>
      <c r="AK16" s="12" t="n">
        <f aca="false">AK15*Допущения!$C$22</f>
        <v>19981690.6228368</v>
      </c>
      <c r="AL16" s="12" t="n">
        <f aca="false">AL15*Допущения!$C$22</f>
        <v>20402789.1854666</v>
      </c>
    </row>
    <row r="17" customFormat="false" ht="15" hidden="false" customHeight="false" outlineLevel="0" collapsed="false">
      <c r="A17" s="6" t="s">
        <v>140</v>
      </c>
      <c r="B17" s="3" t="s">
        <v>70</v>
      </c>
      <c r="C17" s="12" t="n">
        <f aca="false">C16*(Допущения!$C$6+Допущения!$C$7)*(1-Допущения!$C$13)</f>
        <v>23571</v>
      </c>
      <c r="D17" s="12" t="n">
        <f aca="false">D16*(Допущения!$C$6+Допущения!$C$7)*(1-Допущения!$C$13)</f>
        <v>34295.805</v>
      </c>
      <c r="E17" s="12" t="n">
        <f aca="false">E16*(Допущения!$C$6+Допущения!$C$7)*(1-Допущения!$C$13)</f>
        <v>49916.3067</v>
      </c>
      <c r="F17" s="12" t="n">
        <f aca="false">F16*(Допущения!$C$6+Допущения!$C$7)*(1-Допущения!$C$13)</f>
        <v>107665.96383</v>
      </c>
      <c r="G17" s="12" t="n">
        <f aca="false">G16*(Допущения!$C$6+Допущения!$C$7)*(1-Допущения!$C$13)</f>
        <v>143736.73160022</v>
      </c>
      <c r="H17" s="12" t="n">
        <f aca="false">H16*(Допущения!$C$6+Допущения!$C$7)*(1-Допущения!$C$13)</f>
        <v>182751.984768226</v>
      </c>
      <c r="I17" s="12" t="n">
        <f aca="false">I16*(Допущения!$C$6+Допущения!$C$7)*(1-Допущения!$C$13)</f>
        <v>224405.31282231</v>
      </c>
      <c r="J17" s="12" t="n">
        <f aca="false">J16*(Допущения!$C$6+Допущения!$C$7)*(1-Допущения!$C$13)</f>
        <v>153380.842494136</v>
      </c>
      <c r="K17" s="12" t="n">
        <f aca="false">K16*(Допущения!$C$6+Допущения!$C$7)*(1-Допущения!$C$13)</f>
        <v>188717.615937549</v>
      </c>
      <c r="L17" s="12" t="n">
        <f aca="false">L16*(Допущения!$C$6+Допущения!$C$7)*(1-Допущения!$C$13)</f>
        <v>226568.815534773</v>
      </c>
      <c r="M17" s="12" t="n">
        <f aca="false">M16*(Допущения!$C$6+Допущения!$C$7)*(1-Допущения!$C$13)</f>
        <v>242438.436602687</v>
      </c>
      <c r="N17" s="12" t="n">
        <f aca="false">N16*(Допущения!$C$6+Допущения!$C$7)*(1-Допущения!$C$13)</f>
        <v>257355.880406526</v>
      </c>
      <c r="O17" s="12" t="n">
        <f aca="false">O16*(Допущения!$C$6+Допущения!$C$7)*(1-Допущения!$C$13)</f>
        <v>240673.622065707</v>
      </c>
      <c r="P17" s="12" t="n">
        <f aca="false">P16*(Допущения!$C$6+Допущения!$C$7)*(1-Допущения!$C$13)</f>
        <v>205031.403556324</v>
      </c>
      <c r="Q17" s="12" t="n">
        <f aca="false">Q16*(Допущения!$C$6+Допущения!$C$7)*(1-Допущения!$C$13)</f>
        <v>228086.019342944</v>
      </c>
      <c r="R17" s="12" t="n">
        <f aca="false">R16*(Допущения!$C$6+Допущения!$C$7)*(1-Допущения!$C$13)</f>
        <v>416262.263637279</v>
      </c>
      <c r="S17" s="12" t="n">
        <f aca="false">S16*(Допущения!$C$6+Допущения!$C$7)*(1-Допущения!$C$13)</f>
        <v>495235.430600947</v>
      </c>
      <c r="T17" s="12" t="n">
        <f aca="false">T16*(Допущения!$C$6+Допущения!$C$7)*(1-Допущения!$C$13)</f>
        <v>578554.42337988</v>
      </c>
      <c r="U17" s="12" t="n">
        <f aca="false">U16*(Допущения!$C$6+Допущения!$C$7)*(1-Допущения!$C$13)</f>
        <v>665767.004475178</v>
      </c>
      <c r="V17" s="12" t="n">
        <f aca="false">V16*(Допущения!$C$6+Допущения!$C$7)*(1-Допущения!$C$13)</f>
        <v>432262.605665641</v>
      </c>
      <c r="W17" s="12" t="n">
        <f aca="false">W16*(Допущения!$C$6+Допущения!$C$7)*(1-Допущения!$C$13)</f>
        <v>510152.455491416</v>
      </c>
      <c r="X17" s="12" t="n">
        <f aca="false">X16*(Допущения!$C$6+Допущения!$C$7)*(1-Допущения!$C$13)</f>
        <v>591753.397957701</v>
      </c>
      <c r="Y17" s="12" t="n">
        <f aca="false">Y16*(Допущения!$C$6+Допущения!$C$7)*(1-Допущения!$C$13)</f>
        <v>615175.694080239</v>
      </c>
      <c r="Z17" s="12" t="n">
        <f aca="false">Z16*(Допущения!$C$6+Допущения!$C$7)*(1-Допущения!$C$13)</f>
        <v>637192.652435425</v>
      </c>
      <c r="AA17" s="12" t="n">
        <f aca="false">AA16*(Допущения!$C$6+Допущения!$C$7)*(1-Допущения!$C$13)</f>
        <v>542024.874631439</v>
      </c>
      <c r="AB17" s="12" t="n">
        <f aca="false">AB16*(Допущения!$C$6+Допущения!$C$7)*(1-Допущения!$C$13)</f>
        <v>429269.536615165</v>
      </c>
      <c r="AC17" s="12" t="n">
        <f aca="false">AC16*(Допущения!$C$6+Допущения!$C$7)*(1-Допущения!$C$13)</f>
        <v>450655.364418255</v>
      </c>
      <c r="AD17" s="12" t="n">
        <f aca="false">AD16*(Допущения!$C$6+Допущения!$C$7)*(1-Допущения!$C$13)</f>
        <v>784596.737588599</v>
      </c>
      <c r="AE17" s="12" t="n">
        <f aca="false">AE16*(Допущения!$C$6+Допущения!$C$7)*(1-Допущения!$C$13)</f>
        <v>897700.026666612</v>
      </c>
      <c r="AF17" s="12" t="n">
        <f aca="false">AF16*(Допущения!$C$6+Допущения!$C$7)*(1-Допущения!$C$13)</f>
        <v>1014834.57279994</v>
      </c>
      <c r="AG17" s="12" t="n">
        <f aca="false">AG16*(Допущения!$C$6+Допущения!$C$7)*(1-Допущения!$C$13)</f>
        <v>1135580.87330128</v>
      </c>
      <c r="AH17" s="12" t="n">
        <f aca="false">AH16*(Допущения!$C$6+Допущения!$C$7)*(1-Допущения!$C$13)</f>
        <v>719745.859017353</v>
      </c>
      <c r="AI17" s="12" t="n">
        <f aca="false">AI16*(Допущения!$C$6+Допущения!$C$7)*(1-Допущения!$C$13)</f>
        <v>831844.245910851</v>
      </c>
      <c r="AJ17" s="12" t="n">
        <f aca="false">AJ16*(Допущения!$C$6+Допущения!$C$7)*(1-Допущения!$C$13)</f>
        <v>947385.101284667</v>
      </c>
      <c r="AK17" s="12" t="n">
        <f aca="false">AK16*(Допущения!$C$6+Допущения!$C$7)*(1-Допущения!$C$13)</f>
        <v>969111.995207587</v>
      </c>
      <c r="AL17" s="12" t="n">
        <f aca="false">AL16*(Допущения!$C$6+Допущения!$C$7)*(1-Допущения!$C$13)</f>
        <v>989535.275495132</v>
      </c>
    </row>
    <row r="18" customFormat="false" ht="15" hidden="false" customHeight="false" outlineLevel="0" collapsed="false">
      <c r="A18" s="6" t="s">
        <v>141</v>
      </c>
      <c r="B18" s="3" t="s">
        <v>70</v>
      </c>
      <c r="C18" s="12" t="n">
        <f aca="false">C16*(1+Допущения!$C$6)*Допущения!$C$23</f>
        <v>12757.5</v>
      </c>
      <c r="D18" s="12" t="n">
        <f aca="false">D16*(1+Допущения!$C$6)*Допущения!$C$23</f>
        <v>18562.1625</v>
      </c>
      <c r="E18" s="12" t="n">
        <f aca="false">E16*(1+Допущения!$C$6)*Допущения!$C$23</f>
        <v>27016.55775</v>
      </c>
      <c r="F18" s="12" t="n">
        <f aca="false">F16*(1+Допущения!$C$6)*Допущения!$C$23</f>
        <v>58272.815475</v>
      </c>
      <c r="G18" s="12" t="n">
        <f aca="false">G16*(1+Допущения!$C$6)*Допущения!$C$23</f>
        <v>77795.65370115</v>
      </c>
      <c r="H18" s="12" t="n">
        <f aca="false">H16*(1+Допущения!$C$6)*Допущения!$C$23</f>
        <v>98912.156704452</v>
      </c>
      <c r="I18" s="12" t="n">
        <f aca="false">I16*(1+Допущения!$C$6)*Допущения!$C$23</f>
        <v>121456.483744034</v>
      </c>
      <c r="J18" s="12" t="n">
        <f aca="false">J16*(1+Допущения!$C$6)*Допущения!$C$23</f>
        <v>83015.4044427025</v>
      </c>
      <c r="K18" s="12" t="n">
        <f aca="false">K16*(1+Допущения!$C$6)*Допущения!$C$23</f>
        <v>102140.977698158</v>
      </c>
      <c r="L18" s="12" t="n">
        <f aca="false">L16*(1+Допущения!$C$6)*Допущения!$C$23</f>
        <v>122627.451706965</v>
      </c>
      <c r="M18" s="12" t="n">
        <f aca="false">M16*(1+Допущения!$C$6)*Допущения!$C$23</f>
        <v>131216.679604547</v>
      </c>
      <c r="N18" s="12" t="n">
        <f aca="false">N16*(1+Допущения!$C$6)*Допущения!$C$23</f>
        <v>139290.553828274</v>
      </c>
      <c r="O18" s="12" t="n">
        <f aca="false">O16*(1+Допущения!$C$6)*Допущения!$C$23</f>
        <v>130261.496478862</v>
      </c>
      <c r="P18" s="12" t="n">
        <f aca="false">P16*(1+Допущения!$C$6)*Допущения!$C$23</f>
        <v>110970.605017598</v>
      </c>
      <c r="Q18" s="12" t="n">
        <f aca="false">Q16*(1+Допущения!$C$6)*Допущения!$C$23</f>
        <v>123448.618716542</v>
      </c>
      <c r="R18" s="12" t="n">
        <f aca="false">R16*(1+Допущения!$C$6)*Допущения!$C$23</f>
        <v>225296.585989249</v>
      </c>
      <c r="S18" s="12" t="n">
        <f aca="false">S16*(1+Допущения!$C$6)*Допущения!$C$23</f>
        <v>268039.794912884</v>
      </c>
      <c r="T18" s="12" t="n">
        <f aca="false">T16*(1+Допущения!$C$6)*Допущения!$C$23</f>
        <v>313135.126056121</v>
      </c>
      <c r="U18" s="12" t="n">
        <f aca="false">U16*(1+Допущения!$C$6)*Допущения!$C$23</f>
        <v>360337.811700483</v>
      </c>
      <c r="V18" s="12" t="n">
        <f aca="false">V16*(1+Допущения!$C$6)*Допущения!$C$23</f>
        <v>233956.564922126</v>
      </c>
      <c r="W18" s="12" t="n">
        <f aca="false">W16*(1+Допущения!$C$6)*Допущения!$C$23</f>
        <v>276113.442405148</v>
      </c>
      <c r="X18" s="12" t="n">
        <f aca="false">X16*(1+Допущения!$C$6)*Допущения!$C$23</f>
        <v>320278.900956488</v>
      </c>
      <c r="Y18" s="12" t="n">
        <f aca="false">Y16*(1+Допущения!$C$6)*Допущения!$C$23</f>
        <v>332955.916899098</v>
      </c>
      <c r="Z18" s="12" t="n">
        <f aca="false">Z16*(1+Допущения!$C$6)*Допущения!$C$23</f>
        <v>344872.311885153</v>
      </c>
      <c r="AA18" s="12" t="n">
        <f aca="false">AA16*(1+Допущения!$C$6)*Допущения!$C$23</f>
        <v>293363.978537635</v>
      </c>
      <c r="AB18" s="12" t="n">
        <f aca="false">AB16*(1+Допущения!$C$6)*Допущения!$C$23</f>
        <v>232336.604869032</v>
      </c>
      <c r="AC18" s="12" t="n">
        <f aca="false">AC16*(1+Допущения!$C$6)*Допущения!$C$23</f>
        <v>243911.408576891</v>
      </c>
      <c r="AD18" s="12" t="n">
        <f aca="false">AD16*(1+Допущения!$C$6)*Допущения!$C$23</f>
        <v>424652.873437129</v>
      </c>
      <c r="AE18" s="12" t="n">
        <f aca="false">AE16*(1+Допущения!$C$6)*Допущения!$C$23</f>
        <v>485868.571133991</v>
      </c>
      <c r="AF18" s="12" t="n">
        <f aca="false">AF16*(1+Допущения!$C$6)*Допущения!$C$23</f>
        <v>549266.134762856</v>
      </c>
      <c r="AG18" s="12" t="n">
        <f aca="false">AG16*(1+Допущения!$C$6)*Допущения!$C$23</f>
        <v>614618.513900175</v>
      </c>
      <c r="AH18" s="12" t="n">
        <f aca="false">AH16*(1+Допущения!$C$6)*Допущения!$C$23</f>
        <v>389553.17111764</v>
      </c>
      <c r="AI18" s="12" t="n">
        <f aca="false">AI16*(1+Допущения!$C$6)*Допущения!$C$23</f>
        <v>450224.978456904</v>
      </c>
      <c r="AJ18" s="12" t="n">
        <f aca="false">AJ16*(1+Допущения!$C$6)*Допущения!$C$23</f>
        <v>512759.977499433</v>
      </c>
      <c r="AK18" s="12" t="n">
        <f aca="false">AK16*(1+Допущения!$C$6)*Допущения!$C$23</f>
        <v>524519.378849467</v>
      </c>
      <c r="AL18" s="12" t="n">
        <f aca="false">AL16*(1+Допущения!$C$6)*Допущения!$C$23</f>
        <v>535573.216118499</v>
      </c>
    </row>
    <row r="19" customFormat="false" ht="15" hidden="false" customHeight="false" outlineLevel="0" collapsed="false">
      <c r="A19" s="6" t="s">
        <v>142</v>
      </c>
      <c r="B19" s="3" t="s">
        <v>70</v>
      </c>
      <c r="C19" s="12" t="n">
        <f aca="false">C14/Допущения!$C$9*Допущения!$C$10+C14*Допущения!$C$11</f>
        <v>1620</v>
      </c>
      <c r="D19" s="12" t="n">
        <f aca="false">D14/Допущения!$C$9*Допущения!$C$10+D14*Допущения!$C$11</f>
        <v>2357.1</v>
      </c>
      <c r="E19" s="12" t="n">
        <f aca="false">E14/Допущения!$C$9*Допущения!$C$10+E14*Допущения!$C$11</f>
        <v>3430.674</v>
      </c>
      <c r="F19" s="12" t="n">
        <f aca="false">F14/Допущения!$C$9*Допущения!$C$10+F14*Допущения!$C$11</f>
        <v>7399.7226</v>
      </c>
      <c r="G19" s="12" t="n">
        <f aca="false">G14/Допущения!$C$9*Допущения!$C$10+G14*Допущения!$C$11</f>
        <v>9878.8131684</v>
      </c>
      <c r="H19" s="12" t="n">
        <f aca="false">H14/Допущения!$C$9*Допущения!$C$10+H14*Допущения!$C$11</f>
        <v>12560.273867232</v>
      </c>
      <c r="I19" s="12" t="n">
        <f aca="false">I14/Допущения!$C$9*Допущения!$C$10+I14*Допущения!$C$11</f>
        <v>15423.0455547979</v>
      </c>
      <c r="J19" s="12" t="n">
        <f aca="false">J14/Допущения!$C$9*Допущения!$C$10+J14*Допущения!$C$11</f>
        <v>10541.6386593908</v>
      </c>
      <c r="K19" s="12" t="n">
        <f aca="false">K14/Допущения!$C$9*Допущения!$C$10+K14*Допущения!$C$11</f>
        <v>12970.2828823058</v>
      </c>
      <c r="L19" s="12" t="n">
        <f aca="false">L14/Допущения!$C$9*Допущения!$C$10+L14*Допущения!$C$11</f>
        <v>15571.7398992971</v>
      </c>
      <c r="M19" s="12" t="n">
        <f aca="false">M14/Допущения!$C$9*Допущения!$C$10+M14*Допущения!$C$11</f>
        <v>16662.4355053393</v>
      </c>
      <c r="N19" s="12" t="n">
        <f aca="false">N14/Допущения!$C$9*Допущения!$C$10+N14*Допущения!$C$11</f>
        <v>17687.689375019</v>
      </c>
      <c r="O19" s="12" t="n">
        <f aca="false">O14/Допущения!$C$9*Допущения!$C$10+O14*Допущения!$C$11</f>
        <v>16541.1424100143</v>
      </c>
      <c r="P19" s="12" t="n">
        <f aca="false">P14/Допущения!$C$9*Допущения!$C$10+P14*Допущения!$C$11</f>
        <v>14091.5053990601</v>
      </c>
      <c r="Q19" s="12" t="n">
        <f aca="false">Q14/Допущения!$C$9*Допущения!$C$10+Q14*Допущения!$C$11</f>
        <v>15676.0150751165</v>
      </c>
      <c r="R19" s="12" t="n">
        <f aca="false">R14/Допущения!$C$9*Допущения!$C$10+R14*Допущения!$C$11</f>
        <v>28609.0902843491</v>
      </c>
      <c r="S19" s="12" t="n">
        <f aca="false">S14/Допущения!$C$9*Допущения!$C$10+S14*Допущения!$C$11</f>
        <v>34036.799354017</v>
      </c>
      <c r="T19" s="12" t="n">
        <f aca="false">T14/Допущения!$C$9*Допущения!$C$10+T14*Допущения!$C$11</f>
        <v>39763.190610301</v>
      </c>
      <c r="U19" s="12" t="n">
        <f aca="false">U14/Допущения!$C$9*Допущения!$C$10+U14*Допущения!$C$11</f>
        <v>45757.1824381566</v>
      </c>
      <c r="V19" s="12" t="n">
        <f aca="false">V14/Допущения!$C$9*Допущения!$C$10+V14*Допущения!$C$11</f>
        <v>29708.7701488413</v>
      </c>
      <c r="W19" s="12" t="n">
        <f aca="false">W14/Допущения!$C$9*Допущения!$C$10+W14*Допущения!$C$11</f>
        <v>35062.0244323997</v>
      </c>
      <c r="X19" s="12" t="n">
        <f aca="false">X14/Допущения!$C$9*Допущения!$C$10+X14*Допущения!$C$11</f>
        <v>40670.3366293953</v>
      </c>
      <c r="Y19" s="12" t="n">
        <f aca="false">Y14/Допущения!$C$9*Допущения!$C$10+Y14*Допущения!$C$11</f>
        <v>42280.1164316315</v>
      </c>
      <c r="Z19" s="12" t="n">
        <f aca="false">Z14/Допущения!$C$9*Допущения!$C$10+Z14*Допущения!$C$11</f>
        <v>43793.3094457337</v>
      </c>
      <c r="AA19" s="12" t="n">
        <f aca="false">AA14/Допущения!$C$9*Допущения!$C$10+AA14*Допущения!$C$11</f>
        <v>37252.5687031917</v>
      </c>
      <c r="AB19" s="12" t="n">
        <f aca="false">AB14/Допущения!$C$9*Допущения!$C$10+AB14*Допущения!$C$11</f>
        <v>29503.0609357502</v>
      </c>
      <c r="AC19" s="12" t="n">
        <f aca="false">AC14/Допущения!$C$9*Допущения!$C$10+AC14*Допущения!$C$11</f>
        <v>30972.8772796051</v>
      </c>
      <c r="AD19" s="12" t="n">
        <f aca="false">AD14/Допущения!$C$9*Допущения!$C$10+AD14*Допущения!$C$11</f>
        <v>53924.1744047147</v>
      </c>
      <c r="AE19" s="12" t="n">
        <f aca="false">AE14/Допущения!$C$9*Допущения!$C$10+AE14*Допущения!$C$11</f>
        <v>61697.596334475</v>
      </c>
      <c r="AF19" s="12" t="n">
        <f aca="false">AF14/Допущения!$C$9*Допущения!$C$10+AF14*Допущения!$C$11</f>
        <v>69748.0806048071</v>
      </c>
      <c r="AG19" s="12" t="n">
        <f aca="false">AG14/Допущения!$C$9*Допущения!$C$10+AG14*Допущения!$C$11</f>
        <v>78046.7954158952</v>
      </c>
      <c r="AH19" s="12" t="n">
        <f aca="false">AH14/Допущения!$C$9*Допущения!$C$10+AH14*Допущения!$C$11</f>
        <v>49467.0693482717</v>
      </c>
      <c r="AI19" s="12" t="n">
        <f aca="false">AI14/Допущения!$C$9*Допущения!$C$10+AI14*Допущения!$C$11</f>
        <v>57171.4258357973</v>
      </c>
      <c r="AJ19" s="12" t="n">
        <f aca="false">AJ14/Допущения!$C$9*Допущения!$C$10+AJ14*Допущения!$C$11</f>
        <v>65112.3780951661</v>
      </c>
      <c r="AK19" s="12" t="n">
        <f aca="false">AK14/Допущения!$C$9*Допущения!$C$10+AK14*Допущения!$C$11</f>
        <v>66605.6354094561</v>
      </c>
      <c r="AL19" s="12" t="n">
        <f aca="false">AL14/Допущения!$C$9*Допущения!$C$10+AL14*Допущения!$C$11</f>
        <v>68009.2972848888</v>
      </c>
    </row>
    <row r="20" customFormat="false" ht="15" hidden="false" customHeight="false" outlineLevel="0" collapsed="false">
      <c r="A20" s="6" t="s">
        <v>143</v>
      </c>
      <c r="B20" s="3" t="s">
        <v>70</v>
      </c>
      <c r="C20" s="12" t="n">
        <f aca="false">C17*Допущения!$C$8</f>
        <v>942.84</v>
      </c>
      <c r="D20" s="12" t="n">
        <f aca="false">D17*Допущения!$C$8</f>
        <v>1371.8322</v>
      </c>
      <c r="E20" s="12" t="n">
        <f aca="false">E17*Допущения!$C$8</f>
        <v>1996.652268</v>
      </c>
      <c r="F20" s="12" t="n">
        <f aca="false">F17*Допущения!$C$8</f>
        <v>4306.6385532</v>
      </c>
      <c r="G20" s="12" t="n">
        <f aca="false">G17*Допущения!$C$8</f>
        <v>5749.4692640088</v>
      </c>
      <c r="H20" s="12" t="n">
        <f aca="false">H17*Допущения!$C$8</f>
        <v>7310.07939072903</v>
      </c>
      <c r="I20" s="12" t="n">
        <f aca="false">I17*Допущения!$C$8</f>
        <v>8976.21251289239</v>
      </c>
      <c r="J20" s="12" t="n">
        <f aca="false">J17*Допущения!$C$8</f>
        <v>6135.23369976544</v>
      </c>
      <c r="K20" s="12" t="n">
        <f aca="false">K17*Допущения!$C$8</f>
        <v>7548.70463750196</v>
      </c>
      <c r="L20" s="12" t="n">
        <f aca="false">L17*Допущения!$C$8</f>
        <v>9062.75262139093</v>
      </c>
      <c r="M20" s="12" t="n">
        <f aca="false">M17*Допущения!$C$8</f>
        <v>9697.53746410748</v>
      </c>
      <c r="N20" s="12" t="n">
        <f aca="false">N17*Допущения!$C$8</f>
        <v>10294.235216261</v>
      </c>
      <c r="O20" s="12" t="n">
        <f aca="false">O17*Допущения!$C$8</f>
        <v>9626.9448826283</v>
      </c>
      <c r="P20" s="12" t="n">
        <f aca="false">P17*Допущения!$C$8</f>
        <v>8201.25614225295</v>
      </c>
      <c r="Q20" s="12" t="n">
        <f aca="false">Q17*Допущения!$C$8</f>
        <v>9123.44077371777</v>
      </c>
      <c r="R20" s="12" t="n">
        <f aca="false">R17*Допущения!$C$8</f>
        <v>16650.4905454912</v>
      </c>
      <c r="S20" s="12" t="n">
        <f aca="false">S17*Допущения!$C$8</f>
        <v>19809.4172240379</v>
      </c>
      <c r="T20" s="12" t="n">
        <f aca="false">T17*Допущения!$C$8</f>
        <v>23142.1769351952</v>
      </c>
      <c r="U20" s="12" t="n">
        <f aca="false">U17*Допущения!$C$8</f>
        <v>26630.6801790071</v>
      </c>
      <c r="V20" s="12" t="n">
        <f aca="false">V17*Допущения!$C$8</f>
        <v>17290.5042266257</v>
      </c>
      <c r="W20" s="12" t="n">
        <f aca="false">W17*Допущения!$C$8</f>
        <v>20406.0982196566</v>
      </c>
      <c r="X20" s="12" t="n">
        <f aca="false">X17*Допущения!$C$8</f>
        <v>23670.135918308</v>
      </c>
      <c r="Y20" s="12" t="n">
        <f aca="false">Y17*Допущения!$C$8</f>
        <v>24607.0277632096</v>
      </c>
      <c r="Z20" s="12" t="n">
        <f aca="false">Z17*Допущения!$C$8</f>
        <v>25487.706097417</v>
      </c>
      <c r="AA20" s="12" t="n">
        <f aca="false">AA17*Допущения!$C$8</f>
        <v>21680.9949852576</v>
      </c>
      <c r="AB20" s="12" t="n">
        <f aca="false">AB17*Допущения!$C$8</f>
        <v>17170.7814646066</v>
      </c>
      <c r="AC20" s="12" t="n">
        <f aca="false">AC17*Допущения!$C$8</f>
        <v>18026.2145767302</v>
      </c>
      <c r="AD20" s="12" t="n">
        <f aca="false">AD17*Допущения!$C$8</f>
        <v>31383.869503544</v>
      </c>
      <c r="AE20" s="12" t="n">
        <f aca="false">AE17*Допущения!$C$8</f>
        <v>35908.0010666645</v>
      </c>
      <c r="AF20" s="12" t="n">
        <f aca="false">AF17*Допущения!$C$8</f>
        <v>40593.3829119977</v>
      </c>
      <c r="AG20" s="12" t="n">
        <f aca="false">AG17*Допущения!$C$8</f>
        <v>45423.234932051</v>
      </c>
      <c r="AH20" s="12" t="n">
        <f aca="false">AH17*Допущения!$C$8</f>
        <v>28789.8343606941</v>
      </c>
      <c r="AI20" s="12" t="n">
        <f aca="false">AI17*Допущения!$C$8</f>
        <v>33273.7698364341</v>
      </c>
      <c r="AJ20" s="12" t="n">
        <f aca="false">AJ17*Допущения!$C$8</f>
        <v>37895.4040513867</v>
      </c>
      <c r="AK20" s="12" t="n">
        <f aca="false">AK17*Допущения!$C$8</f>
        <v>38764.4798083035</v>
      </c>
      <c r="AL20" s="12" t="n">
        <f aca="false">AL17*Допущения!$C$8</f>
        <v>39581.4110198053</v>
      </c>
    </row>
    <row r="21" customFormat="false" ht="15" hidden="false" customHeight="false" outlineLevel="0" collapsed="false">
      <c r="A21" s="31" t="s">
        <v>144</v>
      </c>
      <c r="B21" s="32" t="s">
        <v>70</v>
      </c>
      <c r="C21" s="33" t="n">
        <f aca="false">C17-C18-C19-C20</f>
        <v>8250.66</v>
      </c>
      <c r="D21" s="33" t="n">
        <f aca="false">D17-D18-D19-D20</f>
        <v>12004.7103</v>
      </c>
      <c r="E21" s="33" t="n">
        <f aca="false">E17-E18-E19-E20</f>
        <v>17472.422682</v>
      </c>
      <c r="F21" s="33" t="n">
        <f aca="false">F17-F18-F19-F20</f>
        <v>37686.7872018</v>
      </c>
      <c r="G21" s="33" t="n">
        <f aca="false">G17-G18-G19-G20</f>
        <v>50312.7954666612</v>
      </c>
      <c r="H21" s="33" t="n">
        <f aca="false">H17-H18-H19-H20</f>
        <v>63969.4748058126</v>
      </c>
      <c r="I21" s="33" t="n">
        <f aca="false">I17-I18-I19-I20</f>
        <v>78549.5710105858</v>
      </c>
      <c r="J21" s="33" t="n">
        <f aca="false">J17-J18-J19-J20</f>
        <v>53688.5656922773</v>
      </c>
      <c r="K21" s="33" t="n">
        <f aca="false">K17-K18-K19-K20</f>
        <v>66057.6507195833</v>
      </c>
      <c r="L21" s="33" t="n">
        <f aca="false">L17-L18-L19-L20</f>
        <v>79306.8713071203</v>
      </c>
      <c r="M21" s="33" t="n">
        <f aca="false">M17-M18-M19-M20</f>
        <v>84861.7840286931</v>
      </c>
      <c r="N21" s="33" t="n">
        <f aca="false">N17-N18-N19-N20</f>
        <v>90083.4019869715</v>
      </c>
      <c r="O21" s="33" t="n">
        <f aca="false">O17-O18-O19-O20</f>
        <v>84244.0382942026</v>
      </c>
      <c r="P21" s="33" t="n">
        <f aca="false">P17-P18-P19-P20</f>
        <v>71768.0369974128</v>
      </c>
      <c r="Q21" s="33" t="n">
        <f aca="false">Q17-Q18-Q19-Q20</f>
        <v>79837.9447775681</v>
      </c>
      <c r="R21" s="33" t="n">
        <f aca="false">R17-R18-R19-R20</f>
        <v>145706.09681819</v>
      </c>
      <c r="S21" s="33" t="n">
        <f aca="false">S17-S18-S19-S20</f>
        <v>173349.419110008</v>
      </c>
      <c r="T21" s="33" t="n">
        <f aca="false">T17-T18-T19-T20</f>
        <v>202513.929778263</v>
      </c>
      <c r="U21" s="33" t="n">
        <f aca="false">U17-U18-U19-U20</f>
        <v>233041.330157531</v>
      </c>
      <c r="V21" s="33" t="n">
        <f aca="false">V17-V18-V19-V20</f>
        <v>151306.766368049</v>
      </c>
      <c r="W21" s="33" t="n">
        <f aca="false">W17-W18-W19-W20</f>
        <v>178570.890434212</v>
      </c>
      <c r="X21" s="33" t="n">
        <f aca="false">X17-X18-X19-X20</f>
        <v>207134.02445351</v>
      </c>
      <c r="Y21" s="33" t="n">
        <f aca="false">Y17-Y18-Y19-Y20</f>
        <v>215332.632986299</v>
      </c>
      <c r="Z21" s="33" t="n">
        <f aca="false">Z17-Z18-Z19-Z20</f>
        <v>223039.325007121</v>
      </c>
      <c r="AA21" s="33" t="n">
        <f aca="false">AA17-AA18-AA19-AA20</f>
        <v>189727.332405355</v>
      </c>
      <c r="AB21" s="33" t="n">
        <f aca="false">AB17-AB18-AB19-AB20</f>
        <v>150259.089345776</v>
      </c>
      <c r="AC21" s="33" t="n">
        <f aca="false">AC17-AC18-AC19-AC20</f>
        <v>157744.863985029</v>
      </c>
      <c r="AD21" s="33" t="n">
        <f aca="false">AD17-AD18-AD19-AD20</f>
        <v>274635.820243212</v>
      </c>
      <c r="AE21" s="33" t="n">
        <f aca="false">AE17-AE18-AE19-AE20</f>
        <v>314225.858131481</v>
      </c>
      <c r="AF21" s="33" t="n">
        <f aca="false">AF17-AF18-AF19-AF20</f>
        <v>355226.974520282</v>
      </c>
      <c r="AG21" s="33" t="n">
        <f aca="false">AG17-AG18-AG19-AG20</f>
        <v>397492.329053154</v>
      </c>
      <c r="AH21" s="33" t="n">
        <f aca="false">AH17-AH18-AH19-AH20</f>
        <v>251935.784190748</v>
      </c>
      <c r="AI21" s="33" t="n">
        <f aca="false">AI17-AI18-AI19-AI20</f>
        <v>291174.071781716</v>
      </c>
      <c r="AJ21" s="33" t="n">
        <f aca="false">AJ17-AJ18-AJ19-AJ20</f>
        <v>331617.341638681</v>
      </c>
      <c r="AK21" s="33" t="n">
        <f aca="false">AK17-AK18-AK19-AK20</f>
        <v>339222.50114036</v>
      </c>
      <c r="AL21" s="33" t="n">
        <f aca="false">AL17-AL18-AL19-AL20</f>
        <v>346371.351071939</v>
      </c>
    </row>
    <row r="22" customFormat="false" ht="15" hidden="false" customHeight="false" outlineLevel="0" collapsed="false">
      <c r="A22" s="6" t="s">
        <v>145</v>
      </c>
      <c r="B22" s="3" t="s">
        <v>70</v>
      </c>
      <c r="C22" s="12" t="n">
        <f aca="false">C10*Допущения!$C$30</f>
        <v>300000</v>
      </c>
      <c r="D22" s="12" t="n">
        <f aca="false">D10*Допущения!$C$30</f>
        <v>300000</v>
      </c>
      <c r="E22" s="12" t="n">
        <f aca="false">E10*Допущения!$C$30</f>
        <v>300000</v>
      </c>
      <c r="F22" s="12" t="n">
        <f aca="false">F10*Допущения!$C$30</f>
        <v>300000</v>
      </c>
      <c r="G22" s="12" t="n">
        <f aca="false">G10*Допущения!$C$30</f>
        <v>300000</v>
      </c>
      <c r="H22" s="12" t="n">
        <f aca="false">H10*Допущения!$C$30</f>
        <v>300000</v>
      </c>
      <c r="I22" s="12" t="n">
        <f aca="false">I10*Допущения!$C$30</f>
        <v>300000</v>
      </c>
      <c r="J22" s="12" t="n">
        <f aca="false">J10*Допущения!$C$30</f>
        <v>300000</v>
      </c>
      <c r="K22" s="12" t="n">
        <f aca="false">K10*Допущения!$C$30</f>
        <v>300000</v>
      </c>
      <c r="L22" s="12" t="n">
        <f aca="false">L10*Допущения!$C$30</f>
        <v>300000</v>
      </c>
      <c r="M22" s="12" t="n">
        <f aca="false">M10*Допущения!$C$30</f>
        <v>300000</v>
      </c>
      <c r="N22" s="12" t="n">
        <f aca="false">N10*Допущения!$C$30</f>
        <v>300000</v>
      </c>
      <c r="O22" s="12" t="n">
        <f aca="false">O10*Допущения!$C$30</f>
        <v>600000</v>
      </c>
      <c r="P22" s="12" t="n">
        <f aca="false">P10*Допущения!$C$30</f>
        <v>600000</v>
      </c>
      <c r="Q22" s="12" t="n">
        <f aca="false">Q10*Допущения!$C$30</f>
        <v>600000</v>
      </c>
      <c r="R22" s="12" t="n">
        <f aca="false">R10*Допущения!$C$30</f>
        <v>600000</v>
      </c>
      <c r="S22" s="12" t="n">
        <f aca="false">S10*Допущения!$C$30</f>
        <v>600000</v>
      </c>
      <c r="T22" s="12" t="n">
        <f aca="false">T10*Допущения!$C$30</f>
        <v>600000</v>
      </c>
      <c r="U22" s="12" t="n">
        <f aca="false">U10*Допущения!$C$30</f>
        <v>600000</v>
      </c>
      <c r="V22" s="12" t="n">
        <f aca="false">V10*Допущения!$C$30</f>
        <v>600000</v>
      </c>
      <c r="W22" s="12" t="n">
        <f aca="false">W10*Допущения!$C$30</f>
        <v>600000</v>
      </c>
      <c r="X22" s="12" t="n">
        <f aca="false">X10*Допущения!$C$30</f>
        <v>600000</v>
      </c>
      <c r="Y22" s="12" t="n">
        <f aca="false">Y10*Допущения!$C$30</f>
        <v>600000</v>
      </c>
      <c r="Z22" s="12" t="n">
        <f aca="false">Z10*Допущения!$C$30</f>
        <v>600000</v>
      </c>
      <c r="AA22" s="12" t="n">
        <f aca="false">AA10*Допущения!$C$30</f>
        <v>800000</v>
      </c>
      <c r="AB22" s="12" t="n">
        <f aca="false">AB10*Допущения!$C$30</f>
        <v>800000</v>
      </c>
      <c r="AC22" s="12" t="n">
        <f aca="false">AC10*Допущения!$C$30</f>
        <v>800000</v>
      </c>
      <c r="AD22" s="12" t="n">
        <f aca="false">AD10*Допущения!$C$30</f>
        <v>800000</v>
      </c>
      <c r="AE22" s="12" t="n">
        <f aca="false">AE10*Допущения!$C$30</f>
        <v>800000</v>
      </c>
      <c r="AF22" s="12" t="n">
        <f aca="false">AF10*Допущения!$C$30</f>
        <v>800000</v>
      </c>
      <c r="AG22" s="12" t="n">
        <f aca="false">AG10*Допущения!$C$30</f>
        <v>800000</v>
      </c>
      <c r="AH22" s="12" t="n">
        <f aca="false">AH10*Допущения!$C$30</f>
        <v>800000</v>
      </c>
      <c r="AI22" s="12" t="n">
        <f aca="false">AI10*Допущения!$C$30</f>
        <v>800000</v>
      </c>
      <c r="AJ22" s="12" t="n">
        <f aca="false">AJ10*Допущения!$C$30</f>
        <v>800000</v>
      </c>
      <c r="AK22" s="12" t="n">
        <f aca="false">AK10*Допущения!$C$30</f>
        <v>800000</v>
      </c>
      <c r="AL22" s="12" t="n">
        <f aca="false">AL10*Допущения!$C$30</f>
        <v>800000</v>
      </c>
    </row>
    <row r="23" customFormat="false" ht="15" hidden="false" customHeight="false" outlineLevel="0" collapsed="false">
      <c r="A23" s="6" t="s">
        <v>146</v>
      </c>
      <c r="B23" s="3" t="s">
        <v>70</v>
      </c>
      <c r="C23" s="12" t="n">
        <f aca="false">CHOOSE(C$6,Допущения!$C$18,Допущения!$D$18,Допущения!$E$18)</f>
        <v>60000</v>
      </c>
      <c r="D23" s="12" t="n">
        <f aca="false">CHOOSE(D$6,Допущения!$C$18,Допущения!$D$18,Допущения!$E$18)</f>
        <v>60000</v>
      </c>
      <c r="E23" s="12" t="n">
        <f aca="false">CHOOSE(E$6,Допущения!$C$18,Допущения!$D$18,Допущения!$E$18)</f>
        <v>60000</v>
      </c>
      <c r="F23" s="12" t="n">
        <f aca="false">CHOOSE(F$6,Допущения!$C$18,Допущения!$D$18,Допущения!$E$18)</f>
        <v>60000</v>
      </c>
      <c r="G23" s="12" t="n">
        <f aca="false">CHOOSE(G$6,Допущения!$C$18,Допущения!$D$18,Допущения!$E$18)</f>
        <v>60000</v>
      </c>
      <c r="H23" s="12" t="n">
        <f aca="false">CHOOSE(H$6,Допущения!$C$18,Допущения!$D$18,Допущения!$E$18)</f>
        <v>60000</v>
      </c>
      <c r="I23" s="12" t="n">
        <f aca="false">CHOOSE(I$6,Допущения!$C$18,Допущения!$D$18,Допущения!$E$18)</f>
        <v>60000</v>
      </c>
      <c r="J23" s="12" t="n">
        <f aca="false">CHOOSE(J$6,Допущения!$C$18,Допущения!$D$18,Допущения!$E$18)</f>
        <v>60000</v>
      </c>
      <c r="K23" s="12" t="n">
        <f aca="false">CHOOSE(K$6,Допущения!$C$18,Допущения!$D$18,Допущения!$E$18)</f>
        <v>60000</v>
      </c>
      <c r="L23" s="12" t="n">
        <f aca="false">CHOOSE(L$6,Допущения!$C$18,Допущения!$D$18,Допущения!$E$18)</f>
        <v>60000</v>
      </c>
      <c r="M23" s="12" t="n">
        <f aca="false">CHOOSE(M$6,Допущения!$C$18,Допущения!$D$18,Допущения!$E$18)</f>
        <v>60000</v>
      </c>
      <c r="N23" s="12" t="n">
        <f aca="false">CHOOSE(N$6,Допущения!$C$18,Допущения!$D$18,Допущения!$E$18)</f>
        <v>60000</v>
      </c>
      <c r="O23" s="12" t="n">
        <f aca="false">CHOOSE(O$6,Допущения!$C$18,Допущения!$D$18,Допущения!$E$18)</f>
        <v>120000</v>
      </c>
      <c r="P23" s="12" t="n">
        <f aca="false">CHOOSE(P$6,Допущения!$C$18,Допущения!$D$18,Допущения!$E$18)</f>
        <v>120000</v>
      </c>
      <c r="Q23" s="12" t="n">
        <f aca="false">CHOOSE(Q$6,Допущения!$C$18,Допущения!$D$18,Допущения!$E$18)</f>
        <v>120000</v>
      </c>
      <c r="R23" s="12" t="n">
        <f aca="false">CHOOSE(R$6,Допущения!$C$18,Допущения!$D$18,Допущения!$E$18)</f>
        <v>120000</v>
      </c>
      <c r="S23" s="12" t="n">
        <f aca="false">CHOOSE(S$6,Допущения!$C$18,Допущения!$D$18,Допущения!$E$18)</f>
        <v>120000</v>
      </c>
      <c r="T23" s="12" t="n">
        <f aca="false">CHOOSE(T$6,Допущения!$C$18,Допущения!$D$18,Допущения!$E$18)</f>
        <v>120000</v>
      </c>
      <c r="U23" s="12" t="n">
        <f aca="false">CHOOSE(U$6,Допущения!$C$18,Допущения!$D$18,Допущения!$E$18)</f>
        <v>120000</v>
      </c>
      <c r="V23" s="12" t="n">
        <f aca="false">CHOOSE(V$6,Допущения!$C$18,Допущения!$D$18,Допущения!$E$18)</f>
        <v>120000</v>
      </c>
      <c r="W23" s="12" t="n">
        <f aca="false">CHOOSE(W$6,Допущения!$C$18,Допущения!$D$18,Допущения!$E$18)</f>
        <v>120000</v>
      </c>
      <c r="X23" s="12" t="n">
        <f aca="false">CHOOSE(X$6,Допущения!$C$18,Допущения!$D$18,Допущения!$E$18)</f>
        <v>120000</v>
      </c>
      <c r="Y23" s="12" t="n">
        <f aca="false">CHOOSE(Y$6,Допущения!$C$18,Допущения!$D$18,Допущения!$E$18)</f>
        <v>120000</v>
      </c>
      <c r="Z23" s="12" t="n">
        <f aca="false">CHOOSE(Z$6,Допущения!$C$18,Допущения!$D$18,Допущения!$E$18)</f>
        <v>120000</v>
      </c>
      <c r="AA23" s="12" t="n">
        <f aca="false">CHOOSE(AA$6,Допущения!$C$18,Допущения!$D$18,Допущения!$E$18)</f>
        <v>200000</v>
      </c>
      <c r="AB23" s="12" t="n">
        <f aca="false">CHOOSE(AB$6,Допущения!$C$18,Допущения!$D$18,Допущения!$E$18)</f>
        <v>200000</v>
      </c>
      <c r="AC23" s="12" t="n">
        <f aca="false">CHOOSE(AC$6,Допущения!$C$18,Допущения!$D$18,Допущения!$E$18)</f>
        <v>200000</v>
      </c>
      <c r="AD23" s="12" t="n">
        <f aca="false">CHOOSE(AD$6,Допущения!$C$18,Допущения!$D$18,Допущения!$E$18)</f>
        <v>200000</v>
      </c>
      <c r="AE23" s="12" t="n">
        <f aca="false">CHOOSE(AE$6,Допущения!$C$18,Допущения!$D$18,Допущения!$E$18)</f>
        <v>200000</v>
      </c>
      <c r="AF23" s="12" t="n">
        <f aca="false">CHOOSE(AF$6,Допущения!$C$18,Допущения!$D$18,Допущения!$E$18)</f>
        <v>200000</v>
      </c>
      <c r="AG23" s="12" t="n">
        <f aca="false">CHOOSE(AG$6,Допущения!$C$18,Допущения!$D$18,Допущения!$E$18)</f>
        <v>200000</v>
      </c>
      <c r="AH23" s="12" t="n">
        <f aca="false">CHOOSE(AH$6,Допущения!$C$18,Допущения!$D$18,Допущения!$E$18)</f>
        <v>200000</v>
      </c>
      <c r="AI23" s="12" t="n">
        <f aca="false">CHOOSE(AI$6,Допущения!$C$18,Допущения!$D$18,Допущения!$E$18)</f>
        <v>200000</v>
      </c>
      <c r="AJ23" s="12" t="n">
        <f aca="false">CHOOSE(AJ$6,Допущения!$C$18,Допущения!$D$18,Допущения!$E$18)</f>
        <v>200000</v>
      </c>
      <c r="AK23" s="12" t="n">
        <f aca="false">CHOOSE(AK$6,Допущения!$C$18,Допущения!$D$18,Допущения!$E$18)</f>
        <v>200000</v>
      </c>
      <c r="AL23" s="12" t="n">
        <f aca="false">CHOOSE(AL$6,Допущения!$C$18,Допущения!$D$18,Допущения!$E$18)</f>
        <v>200000</v>
      </c>
    </row>
    <row r="24" customFormat="false" ht="15" hidden="false" customHeight="false" outlineLevel="0" collapsed="false">
      <c r="A24" s="6" t="s">
        <v>147</v>
      </c>
      <c r="B24" s="3" t="s">
        <v>70</v>
      </c>
      <c r="C24" s="12" t="n">
        <f aca="false">Допущения!$C$15+IF(C$4=1,Допущения!$C$14,0)</f>
        <v>840000</v>
      </c>
      <c r="D24" s="12" t="n">
        <f aca="false">Допущения!$C$15+IF(D$4=1,Допущения!$C$14,0)</f>
        <v>40000</v>
      </c>
      <c r="E24" s="12" t="n">
        <f aca="false">Допущения!$C$15+IF(E$4=1,Допущения!$C$14,0)</f>
        <v>40000</v>
      </c>
      <c r="F24" s="12" t="n">
        <f aca="false">Допущения!$C$15+IF(F$4=1,Допущения!$C$14,0)</f>
        <v>40000</v>
      </c>
      <c r="G24" s="12" t="n">
        <f aca="false">Допущения!$C$15+IF(G$4=1,Допущения!$C$14,0)</f>
        <v>40000</v>
      </c>
      <c r="H24" s="12" t="n">
        <f aca="false">Допущения!$C$15+IF(H$4=1,Допущения!$C$14,0)</f>
        <v>40000</v>
      </c>
      <c r="I24" s="12" t="n">
        <f aca="false">Допущения!$C$15+IF(I$4=1,Допущения!$C$14,0)</f>
        <v>40000</v>
      </c>
      <c r="J24" s="12" t="n">
        <f aca="false">Допущения!$C$15+IF(J$4=1,Допущения!$C$14,0)</f>
        <v>40000</v>
      </c>
      <c r="K24" s="12" t="n">
        <f aca="false">Допущения!$C$15+IF(K$4=1,Допущения!$C$14,0)</f>
        <v>40000</v>
      </c>
      <c r="L24" s="12" t="n">
        <f aca="false">Допущения!$C$15+IF(L$4=1,Допущения!$C$14,0)</f>
        <v>40000</v>
      </c>
      <c r="M24" s="12" t="n">
        <f aca="false">Допущения!$C$15+IF(M$4=1,Допущения!$C$14,0)</f>
        <v>40000</v>
      </c>
      <c r="N24" s="12" t="n">
        <f aca="false">Допущения!$C$15+IF(N$4=1,Допущения!$C$14,0)</f>
        <v>40000</v>
      </c>
      <c r="O24" s="12" t="n">
        <f aca="false">Допущения!$C$15+IF(O$4=1,Допущения!$C$14,0)</f>
        <v>40000</v>
      </c>
      <c r="P24" s="12" t="n">
        <f aca="false">Допущения!$C$15+IF(P$4=1,Допущения!$C$14,0)</f>
        <v>40000</v>
      </c>
      <c r="Q24" s="12" t="n">
        <f aca="false">Допущения!$C$15+IF(Q$4=1,Допущения!$C$14,0)</f>
        <v>40000</v>
      </c>
      <c r="R24" s="12" t="n">
        <f aca="false">Допущения!$C$15+IF(R$4=1,Допущения!$C$14,0)</f>
        <v>40000</v>
      </c>
      <c r="S24" s="12" t="n">
        <f aca="false">Допущения!$C$15+IF(S$4=1,Допущения!$C$14,0)</f>
        <v>40000</v>
      </c>
      <c r="T24" s="12" t="n">
        <f aca="false">Допущения!$C$15+IF(T$4=1,Допущения!$C$14,0)</f>
        <v>40000</v>
      </c>
      <c r="U24" s="12" t="n">
        <f aca="false">Допущения!$C$15+IF(U$4=1,Допущения!$C$14,0)</f>
        <v>40000</v>
      </c>
      <c r="V24" s="12" t="n">
        <f aca="false">Допущения!$C$15+IF(V$4=1,Допущения!$C$14,0)</f>
        <v>40000</v>
      </c>
      <c r="W24" s="12" t="n">
        <f aca="false">Допущения!$C$15+IF(W$4=1,Допущения!$C$14,0)</f>
        <v>40000</v>
      </c>
      <c r="X24" s="12" t="n">
        <f aca="false">Допущения!$C$15+IF(X$4=1,Допущения!$C$14,0)</f>
        <v>40000</v>
      </c>
      <c r="Y24" s="12" t="n">
        <f aca="false">Допущения!$C$15+IF(Y$4=1,Допущения!$C$14,0)</f>
        <v>40000</v>
      </c>
      <c r="Z24" s="12" t="n">
        <f aca="false">Допущения!$C$15+IF(Z$4=1,Допущения!$C$14,0)</f>
        <v>40000</v>
      </c>
      <c r="AA24" s="12" t="n">
        <f aca="false">Допущения!$C$15+IF(AA$4=1,Допущения!$C$14,0)</f>
        <v>40000</v>
      </c>
      <c r="AB24" s="12" t="n">
        <f aca="false">Допущения!$C$15+IF(AB$4=1,Допущения!$C$14,0)</f>
        <v>40000</v>
      </c>
      <c r="AC24" s="12" t="n">
        <f aca="false">Допущения!$C$15+IF(AC$4=1,Допущения!$C$14,0)</f>
        <v>40000</v>
      </c>
      <c r="AD24" s="12" t="n">
        <f aca="false">Допущения!$C$15+IF(AD$4=1,Допущения!$C$14,0)</f>
        <v>40000</v>
      </c>
      <c r="AE24" s="12" t="n">
        <f aca="false">Допущения!$C$15+IF(AE$4=1,Допущения!$C$14,0)</f>
        <v>40000</v>
      </c>
      <c r="AF24" s="12" t="n">
        <f aca="false">Допущения!$C$15+IF(AF$4=1,Допущения!$C$14,0)</f>
        <v>40000</v>
      </c>
      <c r="AG24" s="12" t="n">
        <f aca="false">Допущения!$C$15+IF(AG$4=1,Допущения!$C$14,0)</f>
        <v>40000</v>
      </c>
      <c r="AH24" s="12" t="n">
        <f aca="false">Допущения!$C$15+IF(AH$4=1,Допущения!$C$14,0)</f>
        <v>40000</v>
      </c>
      <c r="AI24" s="12" t="n">
        <f aca="false">Допущения!$C$15+IF(AI$4=1,Допущения!$C$14,0)</f>
        <v>40000</v>
      </c>
      <c r="AJ24" s="12" t="n">
        <f aca="false">Допущения!$C$15+IF(AJ$4=1,Допущения!$C$14,0)</f>
        <v>40000</v>
      </c>
      <c r="AK24" s="12" t="n">
        <f aca="false">Допущения!$C$15+IF(AK$4=1,Допущения!$C$14,0)</f>
        <v>40000</v>
      </c>
      <c r="AL24" s="12" t="n">
        <f aca="false">Допущения!$C$15+IF(AL$4=1,Допущения!$C$14,0)</f>
        <v>40000</v>
      </c>
    </row>
    <row r="25" customFormat="false" ht="15" hidden="false" customHeight="false" outlineLevel="0" collapsed="false">
      <c r="A25" s="6" t="s">
        <v>148</v>
      </c>
      <c r="B25" s="3" t="s">
        <v>70</v>
      </c>
      <c r="C25" s="12" t="n">
        <f aca="false">CHOOSE(C$6,Допущения!$C$19,Допущения!$D$19,Допущения!$E$19)</f>
        <v>0</v>
      </c>
      <c r="D25" s="12" t="n">
        <f aca="false">CHOOSE(D$6,Допущения!$C$19,Допущения!$D$19,Допущения!$E$19)</f>
        <v>0</v>
      </c>
      <c r="E25" s="12" t="n">
        <f aca="false">CHOOSE(E$6,Допущения!$C$19,Допущения!$D$19,Допущения!$E$19)</f>
        <v>0</v>
      </c>
      <c r="F25" s="12" t="n">
        <f aca="false">CHOOSE(F$6,Допущения!$C$19,Допущения!$D$19,Допущения!$E$19)</f>
        <v>0</v>
      </c>
      <c r="G25" s="12" t="n">
        <f aca="false">CHOOSE(G$6,Допущения!$C$19,Допущения!$D$19,Допущения!$E$19)</f>
        <v>0</v>
      </c>
      <c r="H25" s="12" t="n">
        <f aca="false">CHOOSE(H$6,Допущения!$C$19,Допущения!$D$19,Допущения!$E$19)</f>
        <v>0</v>
      </c>
      <c r="I25" s="12" t="n">
        <f aca="false">CHOOSE(I$6,Допущения!$C$19,Допущения!$D$19,Допущения!$E$19)</f>
        <v>0</v>
      </c>
      <c r="J25" s="12" t="n">
        <f aca="false">CHOOSE(J$6,Допущения!$C$19,Допущения!$D$19,Допущения!$E$19)</f>
        <v>0</v>
      </c>
      <c r="K25" s="12" t="n">
        <f aca="false">CHOOSE(K$6,Допущения!$C$19,Допущения!$D$19,Допущения!$E$19)</f>
        <v>0</v>
      </c>
      <c r="L25" s="12" t="n">
        <f aca="false">CHOOSE(L$6,Допущения!$C$19,Допущения!$D$19,Допущения!$E$19)</f>
        <v>0</v>
      </c>
      <c r="M25" s="12" t="n">
        <f aca="false">CHOOSE(M$6,Допущения!$C$19,Допущения!$D$19,Допущения!$E$19)</f>
        <v>0</v>
      </c>
      <c r="N25" s="12" t="n">
        <f aca="false">CHOOSE(N$6,Допущения!$C$19,Допущения!$D$19,Допущения!$E$19)</f>
        <v>0</v>
      </c>
      <c r="O25" s="12" t="n">
        <f aca="false">CHOOSE(O$6,Допущения!$C$19,Допущения!$D$19,Допущения!$E$19)</f>
        <v>300000</v>
      </c>
      <c r="P25" s="12" t="n">
        <f aca="false">CHOOSE(P$6,Допущения!$C$19,Допущения!$D$19,Допущения!$E$19)</f>
        <v>300000</v>
      </c>
      <c r="Q25" s="12" t="n">
        <f aca="false">CHOOSE(Q$6,Допущения!$C$19,Допущения!$D$19,Допущения!$E$19)</f>
        <v>300000</v>
      </c>
      <c r="R25" s="12" t="n">
        <f aca="false">CHOOSE(R$6,Допущения!$C$19,Допущения!$D$19,Допущения!$E$19)</f>
        <v>300000</v>
      </c>
      <c r="S25" s="12" t="n">
        <f aca="false">CHOOSE(S$6,Допущения!$C$19,Допущения!$D$19,Допущения!$E$19)</f>
        <v>300000</v>
      </c>
      <c r="T25" s="12" t="n">
        <f aca="false">CHOOSE(T$6,Допущения!$C$19,Допущения!$D$19,Допущения!$E$19)</f>
        <v>300000</v>
      </c>
      <c r="U25" s="12" t="n">
        <f aca="false">CHOOSE(U$6,Допущения!$C$19,Допущения!$D$19,Допущения!$E$19)</f>
        <v>300000</v>
      </c>
      <c r="V25" s="12" t="n">
        <f aca="false">CHOOSE(V$6,Допущения!$C$19,Допущения!$D$19,Допущения!$E$19)</f>
        <v>300000</v>
      </c>
      <c r="W25" s="12" t="n">
        <f aca="false">CHOOSE(W$6,Допущения!$C$19,Допущения!$D$19,Допущения!$E$19)</f>
        <v>300000</v>
      </c>
      <c r="X25" s="12" t="n">
        <f aca="false">CHOOSE(X$6,Допущения!$C$19,Допущения!$D$19,Допущения!$E$19)</f>
        <v>300000</v>
      </c>
      <c r="Y25" s="12" t="n">
        <f aca="false">CHOOSE(Y$6,Допущения!$C$19,Допущения!$D$19,Допущения!$E$19)</f>
        <v>300000</v>
      </c>
      <c r="Z25" s="12" t="n">
        <f aca="false">CHOOSE(Z$6,Допущения!$C$19,Допущения!$D$19,Допущения!$E$19)</f>
        <v>300000</v>
      </c>
      <c r="AA25" s="12" t="n">
        <f aca="false">CHOOSE(AA$6,Допущения!$C$19,Допущения!$D$19,Допущения!$E$19)</f>
        <v>500000</v>
      </c>
      <c r="AB25" s="12" t="n">
        <f aca="false">CHOOSE(AB$6,Допущения!$C$19,Допущения!$D$19,Допущения!$E$19)</f>
        <v>500000</v>
      </c>
      <c r="AC25" s="12" t="n">
        <f aca="false">CHOOSE(AC$6,Допущения!$C$19,Допущения!$D$19,Допущения!$E$19)</f>
        <v>500000</v>
      </c>
      <c r="AD25" s="12" t="n">
        <f aca="false">CHOOSE(AD$6,Допущения!$C$19,Допущения!$D$19,Допущения!$E$19)</f>
        <v>500000</v>
      </c>
      <c r="AE25" s="12" t="n">
        <f aca="false">CHOOSE(AE$6,Допущения!$C$19,Допущения!$D$19,Допущения!$E$19)</f>
        <v>500000</v>
      </c>
      <c r="AF25" s="12" t="n">
        <f aca="false">CHOOSE(AF$6,Допущения!$C$19,Допущения!$D$19,Допущения!$E$19)</f>
        <v>500000</v>
      </c>
      <c r="AG25" s="12" t="n">
        <f aca="false">CHOOSE(AG$6,Допущения!$C$19,Допущения!$D$19,Допущения!$E$19)</f>
        <v>500000</v>
      </c>
      <c r="AH25" s="12" t="n">
        <f aca="false">CHOOSE(AH$6,Допущения!$C$19,Допущения!$D$19,Допущения!$E$19)</f>
        <v>500000</v>
      </c>
      <c r="AI25" s="12" t="n">
        <f aca="false">CHOOSE(AI$6,Допущения!$C$19,Допущения!$D$19,Допущения!$E$19)</f>
        <v>500000</v>
      </c>
      <c r="AJ25" s="12" t="n">
        <f aca="false">CHOOSE(AJ$6,Допущения!$C$19,Допущения!$D$19,Допущения!$E$19)</f>
        <v>500000</v>
      </c>
      <c r="AK25" s="12" t="n">
        <f aca="false">CHOOSE(AK$6,Допущения!$C$19,Допущения!$D$19,Допущения!$E$19)</f>
        <v>500000</v>
      </c>
      <c r="AL25" s="12" t="n">
        <f aca="false">CHOOSE(AL$6,Допущения!$C$19,Допущения!$D$19,Допущения!$E$19)</f>
        <v>500000</v>
      </c>
    </row>
    <row r="26" customFormat="false" ht="15" hidden="false" customHeight="false" outlineLevel="0" collapsed="false">
      <c r="A26" s="6" t="s">
        <v>149</v>
      </c>
      <c r="B26" s="3" t="s">
        <v>70</v>
      </c>
      <c r="C26" s="12" t="n">
        <f aca="false">SUM(C22:C25)</f>
        <v>1200000</v>
      </c>
      <c r="D26" s="12" t="n">
        <f aca="false">SUM(D22:D25)</f>
        <v>400000</v>
      </c>
      <c r="E26" s="12" t="n">
        <f aca="false">SUM(E22:E25)</f>
        <v>400000</v>
      </c>
      <c r="F26" s="12" t="n">
        <f aca="false">SUM(F22:F25)</f>
        <v>400000</v>
      </c>
      <c r="G26" s="12" t="n">
        <f aca="false">SUM(G22:G25)</f>
        <v>400000</v>
      </c>
      <c r="H26" s="12" t="n">
        <f aca="false">SUM(H22:H25)</f>
        <v>400000</v>
      </c>
      <c r="I26" s="12" t="n">
        <f aca="false">SUM(I22:I25)</f>
        <v>400000</v>
      </c>
      <c r="J26" s="12" t="n">
        <f aca="false">SUM(J22:J25)</f>
        <v>400000</v>
      </c>
      <c r="K26" s="12" t="n">
        <f aca="false">SUM(K22:K25)</f>
        <v>400000</v>
      </c>
      <c r="L26" s="12" t="n">
        <f aca="false">SUM(L22:L25)</f>
        <v>400000</v>
      </c>
      <c r="M26" s="12" t="n">
        <f aca="false">SUM(M22:M25)</f>
        <v>400000</v>
      </c>
      <c r="N26" s="12" t="n">
        <f aca="false">SUM(N22:N25)</f>
        <v>400000</v>
      </c>
      <c r="O26" s="12" t="n">
        <f aca="false">SUM(O22:O25)</f>
        <v>1060000</v>
      </c>
      <c r="P26" s="12" t="n">
        <f aca="false">SUM(P22:P25)</f>
        <v>1060000</v>
      </c>
      <c r="Q26" s="12" t="n">
        <f aca="false">SUM(Q22:Q25)</f>
        <v>1060000</v>
      </c>
      <c r="R26" s="12" t="n">
        <f aca="false">SUM(R22:R25)</f>
        <v>1060000</v>
      </c>
      <c r="S26" s="12" t="n">
        <f aca="false">SUM(S22:S25)</f>
        <v>1060000</v>
      </c>
      <c r="T26" s="12" t="n">
        <f aca="false">SUM(T22:T25)</f>
        <v>1060000</v>
      </c>
      <c r="U26" s="12" t="n">
        <f aca="false">SUM(U22:U25)</f>
        <v>1060000</v>
      </c>
      <c r="V26" s="12" t="n">
        <f aca="false">SUM(V22:V25)</f>
        <v>1060000</v>
      </c>
      <c r="W26" s="12" t="n">
        <f aca="false">SUM(W22:W25)</f>
        <v>1060000</v>
      </c>
      <c r="X26" s="12" t="n">
        <f aca="false">SUM(X22:X25)</f>
        <v>1060000</v>
      </c>
      <c r="Y26" s="12" t="n">
        <f aca="false">SUM(Y22:Y25)</f>
        <v>1060000</v>
      </c>
      <c r="Z26" s="12" t="n">
        <f aca="false">SUM(Z22:Z25)</f>
        <v>1060000</v>
      </c>
      <c r="AA26" s="12" t="n">
        <f aca="false">SUM(AA22:AA25)</f>
        <v>1540000</v>
      </c>
      <c r="AB26" s="12" t="n">
        <f aca="false">SUM(AB22:AB25)</f>
        <v>1540000</v>
      </c>
      <c r="AC26" s="12" t="n">
        <f aca="false">SUM(AC22:AC25)</f>
        <v>1540000</v>
      </c>
      <c r="AD26" s="12" t="n">
        <f aca="false">SUM(AD22:AD25)</f>
        <v>1540000</v>
      </c>
      <c r="AE26" s="12" t="n">
        <f aca="false">SUM(AE22:AE25)</f>
        <v>1540000</v>
      </c>
      <c r="AF26" s="12" t="n">
        <f aca="false">SUM(AF22:AF25)</f>
        <v>1540000</v>
      </c>
      <c r="AG26" s="12" t="n">
        <f aca="false">SUM(AG22:AG25)</f>
        <v>1540000</v>
      </c>
      <c r="AH26" s="12" t="n">
        <f aca="false">SUM(AH22:AH25)</f>
        <v>1540000</v>
      </c>
      <c r="AI26" s="12" t="n">
        <f aca="false">SUM(AI22:AI25)</f>
        <v>1540000</v>
      </c>
      <c r="AJ26" s="12" t="n">
        <f aca="false">SUM(AJ22:AJ25)</f>
        <v>1540000</v>
      </c>
      <c r="AK26" s="12" t="n">
        <f aca="false">SUM(AK22:AK25)</f>
        <v>1540000</v>
      </c>
      <c r="AL26" s="12" t="n">
        <f aca="false">SUM(AL22:AL25)</f>
        <v>1540000</v>
      </c>
    </row>
    <row r="27" customFormat="false" ht="15" hidden="false" customHeight="false" outlineLevel="0" collapsed="false">
      <c r="A27" s="31" t="s">
        <v>150</v>
      </c>
      <c r="B27" s="32" t="s">
        <v>70</v>
      </c>
      <c r="C27" s="33" t="n">
        <f aca="false">C21-C26</f>
        <v>-1191749.34</v>
      </c>
      <c r="D27" s="33" t="n">
        <f aca="false">D21-D26</f>
        <v>-387995.2897</v>
      </c>
      <c r="E27" s="33" t="n">
        <f aca="false">E21-E26</f>
        <v>-382527.577318</v>
      </c>
      <c r="F27" s="33" t="n">
        <f aca="false">F21-F26</f>
        <v>-362313.2127982</v>
      </c>
      <c r="G27" s="33" t="n">
        <f aca="false">G21-G26</f>
        <v>-349687.204533339</v>
      </c>
      <c r="H27" s="33" t="n">
        <f aca="false">H21-H26</f>
        <v>-336030.525194187</v>
      </c>
      <c r="I27" s="33" t="n">
        <f aca="false">I21-I26</f>
        <v>-321450.428989414</v>
      </c>
      <c r="J27" s="33" t="n">
        <f aca="false">J21-J26</f>
        <v>-346311.434307723</v>
      </c>
      <c r="K27" s="33" t="n">
        <f aca="false">K21-K26</f>
        <v>-333942.349280417</v>
      </c>
      <c r="L27" s="33" t="n">
        <f aca="false">L21-L26</f>
        <v>-320693.12869288</v>
      </c>
      <c r="M27" s="33" t="n">
        <f aca="false">M21-M26</f>
        <v>-315138.215971307</v>
      </c>
      <c r="N27" s="33" t="n">
        <f aca="false">N21-N26</f>
        <v>-309916.598013028</v>
      </c>
      <c r="O27" s="33" t="n">
        <f aca="false">O21-O26</f>
        <v>-975755.961705797</v>
      </c>
      <c r="P27" s="33" t="n">
        <f aca="false">P21-P26</f>
        <v>-988231.963002587</v>
      </c>
      <c r="Q27" s="33" t="n">
        <f aca="false">Q21-Q26</f>
        <v>-980162.055222432</v>
      </c>
      <c r="R27" s="33" t="n">
        <f aca="false">R21-R26</f>
        <v>-914293.90318181</v>
      </c>
      <c r="S27" s="33" t="n">
        <f aca="false">S21-S26</f>
        <v>-886650.580889992</v>
      </c>
      <c r="T27" s="33" t="n">
        <f aca="false">T21-T26</f>
        <v>-857486.070221737</v>
      </c>
      <c r="U27" s="33" t="n">
        <f aca="false">U21-U26</f>
        <v>-826958.669842469</v>
      </c>
      <c r="V27" s="33" t="n">
        <f aca="false">V21-V26</f>
        <v>-908693.233631951</v>
      </c>
      <c r="W27" s="33" t="n">
        <f aca="false">W21-W26</f>
        <v>-881429.109565788</v>
      </c>
      <c r="X27" s="33" t="n">
        <f aca="false">X21-X26</f>
        <v>-852865.97554649</v>
      </c>
      <c r="Y27" s="33" t="n">
        <f aca="false">Y21-Y26</f>
        <v>-844667.367013701</v>
      </c>
      <c r="Z27" s="33" t="n">
        <f aca="false">Z21-Z26</f>
        <v>-836960.674992879</v>
      </c>
      <c r="AA27" s="33" t="n">
        <f aca="false">AA21-AA26</f>
        <v>-1350272.66759464</v>
      </c>
      <c r="AB27" s="33" t="n">
        <f aca="false">AB21-AB26</f>
        <v>-1389740.91065422</v>
      </c>
      <c r="AC27" s="33" t="n">
        <f aca="false">AC21-AC26</f>
        <v>-1382255.13601497</v>
      </c>
      <c r="AD27" s="33" t="n">
        <f aca="false">AD21-AD26</f>
        <v>-1265364.17975679</v>
      </c>
      <c r="AE27" s="33" t="n">
        <f aca="false">AE21-AE26</f>
        <v>-1225774.14186852</v>
      </c>
      <c r="AF27" s="33" t="n">
        <f aca="false">AF21-AF26</f>
        <v>-1184773.02547972</v>
      </c>
      <c r="AG27" s="33" t="n">
        <f aca="false">AG21-AG26</f>
        <v>-1142507.67094685</v>
      </c>
      <c r="AH27" s="33" t="n">
        <f aca="false">AH21-AH26</f>
        <v>-1288064.21580925</v>
      </c>
      <c r="AI27" s="33" t="n">
        <f aca="false">AI21-AI26</f>
        <v>-1248825.92821828</v>
      </c>
      <c r="AJ27" s="33" t="n">
        <f aca="false">AJ21-AJ26</f>
        <v>-1208382.65836132</v>
      </c>
      <c r="AK27" s="33" t="n">
        <f aca="false">AK21-AK26</f>
        <v>-1200777.49885964</v>
      </c>
      <c r="AL27" s="33" t="n">
        <f aca="false">AL21-AL26</f>
        <v>-1193628.64892806</v>
      </c>
    </row>
    <row r="28" customFormat="false" ht="15" hidden="false" customHeight="false" outlineLevel="0" collapsed="false">
      <c r="A28" s="31" t="s">
        <v>151</v>
      </c>
      <c r="B28" s="32" t="s">
        <v>70</v>
      </c>
      <c r="C28" s="33" t="n">
        <f aca="false">C27</f>
        <v>-1191749.34</v>
      </c>
      <c r="D28" s="33" t="n">
        <f aca="false">C28+D27</f>
        <v>-1579744.6297</v>
      </c>
      <c r="E28" s="33" t="n">
        <f aca="false">D28+E27</f>
        <v>-1962272.207018</v>
      </c>
      <c r="F28" s="33" t="n">
        <f aca="false">E28+F27</f>
        <v>-2324585.4198162</v>
      </c>
      <c r="G28" s="33" t="n">
        <f aca="false">F28+G27</f>
        <v>-2674272.62434954</v>
      </c>
      <c r="H28" s="33" t="n">
        <f aca="false">G28+H27</f>
        <v>-3010303.14954373</v>
      </c>
      <c r="I28" s="33" t="n">
        <f aca="false">H28+I27</f>
        <v>-3331753.57853314</v>
      </c>
      <c r="J28" s="33" t="n">
        <f aca="false">I28+J27</f>
        <v>-3678065.01284086</v>
      </c>
      <c r="K28" s="33" t="n">
        <f aca="false">J28+K27</f>
        <v>-4012007.36212128</v>
      </c>
      <c r="L28" s="33" t="n">
        <f aca="false">K28+L27</f>
        <v>-4332700.49081416</v>
      </c>
      <c r="M28" s="33" t="n">
        <f aca="false">L28+M27</f>
        <v>-4647838.70678547</v>
      </c>
      <c r="N28" s="33" t="n">
        <f aca="false">M28+N27</f>
        <v>-4957755.3047985</v>
      </c>
      <c r="O28" s="33" t="n">
        <f aca="false">N28+O27</f>
        <v>-5933511.26650429</v>
      </c>
      <c r="P28" s="33" t="n">
        <f aca="false">O28+P27</f>
        <v>-6921743.22950688</v>
      </c>
      <c r="Q28" s="33" t="n">
        <f aca="false">P28+Q27</f>
        <v>-7901905.28472931</v>
      </c>
      <c r="R28" s="33" t="n">
        <f aca="false">Q28+R27</f>
        <v>-8816199.18791112</v>
      </c>
      <c r="S28" s="33" t="n">
        <f aca="false">R28+S27</f>
        <v>-9702849.76880112</v>
      </c>
      <c r="T28" s="33" t="n">
        <f aca="false">S28+T27</f>
        <v>-10560335.8390229</v>
      </c>
      <c r="U28" s="33" t="n">
        <f aca="false">T28+U27</f>
        <v>-11387294.5088653</v>
      </c>
      <c r="V28" s="33" t="n">
        <f aca="false">U28+V27</f>
        <v>-12295987.7424973</v>
      </c>
      <c r="W28" s="33" t="n">
        <f aca="false">V28+W27</f>
        <v>-13177416.8520631</v>
      </c>
      <c r="X28" s="33" t="n">
        <f aca="false">W28+X27</f>
        <v>-14030282.8276096</v>
      </c>
      <c r="Y28" s="33" t="n">
        <f aca="false">X28+Y27</f>
        <v>-14874950.1946233</v>
      </c>
      <c r="Z28" s="33" t="n">
        <f aca="false">Y28+Z27</f>
        <v>-15711910.8696161</v>
      </c>
      <c r="AA28" s="33" t="n">
        <f aca="false">Z28+AA27</f>
        <v>-17062183.5372108</v>
      </c>
      <c r="AB28" s="33" t="n">
        <f aca="false">AA28+AB27</f>
        <v>-18451924.447865</v>
      </c>
      <c r="AC28" s="33" t="n">
        <f aca="false">AB28+AC27</f>
        <v>-19834179.58388</v>
      </c>
      <c r="AD28" s="33" t="n">
        <f aca="false">AC28+AD27</f>
        <v>-21099543.7636368</v>
      </c>
      <c r="AE28" s="33" t="n">
        <f aca="false">AD28+AE27</f>
        <v>-22325317.9055053</v>
      </c>
      <c r="AF28" s="33" t="n">
        <f aca="false">AE28+AF27</f>
        <v>-23510090.930985</v>
      </c>
      <c r="AG28" s="33" t="n">
        <f aca="false">AF28+AG27</f>
        <v>-24652598.6019318</v>
      </c>
      <c r="AH28" s="33" t="n">
        <f aca="false">AG28+AH27</f>
        <v>-25940662.8177411</v>
      </c>
      <c r="AI28" s="33" t="n">
        <f aca="false">AH28+AI27</f>
        <v>-27189488.7459594</v>
      </c>
      <c r="AJ28" s="33" t="n">
        <f aca="false">AI28+AJ27</f>
        <v>-28397871.4043207</v>
      </c>
      <c r="AK28" s="33" t="n">
        <f aca="false">AJ28+AK27</f>
        <v>-29598648.9031803</v>
      </c>
      <c r="AL28" s="33" t="n">
        <f aca="false">AK28+AL27</f>
        <v>-30792277.5521084</v>
      </c>
    </row>
    <row r="29" customFormat="false" ht="15" hidden="false" customHeight="false" outlineLevel="0" collapsed="false">
      <c r="A29" s="3" t="s">
        <v>152</v>
      </c>
      <c r="B29" s="3"/>
      <c r="C29" s="34" t="str">
        <f aca="false">IF(C27&gt;0,C$4,"")</f>
        <v/>
      </c>
      <c r="D29" s="34" t="str">
        <f aca="false">IF(D27&gt;0,D$4,"")</f>
        <v/>
      </c>
      <c r="E29" s="34" t="str">
        <f aca="false">IF(E27&gt;0,E$4,"")</f>
        <v/>
      </c>
      <c r="F29" s="34" t="str">
        <f aca="false">IF(F27&gt;0,F$4,"")</f>
        <v/>
      </c>
      <c r="G29" s="34" t="str">
        <f aca="false">IF(G27&gt;0,G$4,"")</f>
        <v/>
      </c>
      <c r="H29" s="34" t="str">
        <f aca="false">IF(H27&gt;0,H$4,"")</f>
        <v/>
      </c>
      <c r="I29" s="34" t="str">
        <f aca="false">IF(I27&gt;0,I$4,"")</f>
        <v/>
      </c>
      <c r="J29" s="34" t="str">
        <f aca="false">IF(J27&gt;0,J$4,"")</f>
        <v/>
      </c>
      <c r="K29" s="34" t="str">
        <f aca="false">IF(K27&gt;0,K$4,"")</f>
        <v/>
      </c>
      <c r="L29" s="34" t="str">
        <f aca="false">IF(L27&gt;0,L$4,"")</f>
        <v/>
      </c>
      <c r="M29" s="34" t="str">
        <f aca="false">IF(M27&gt;0,M$4,"")</f>
        <v/>
      </c>
      <c r="N29" s="34" t="str">
        <f aca="false">IF(N27&gt;0,N$4,"")</f>
        <v/>
      </c>
      <c r="O29" s="34" t="str">
        <f aca="false">IF(O27&gt;0,O$4,"")</f>
        <v/>
      </c>
      <c r="P29" s="34" t="str">
        <f aca="false">IF(P27&gt;0,P$4,"")</f>
        <v/>
      </c>
      <c r="Q29" s="34" t="str">
        <f aca="false">IF(Q27&gt;0,Q$4,"")</f>
        <v/>
      </c>
      <c r="R29" s="34" t="str">
        <f aca="false">IF(R27&gt;0,R$4,"")</f>
        <v/>
      </c>
      <c r="S29" s="34" t="str">
        <f aca="false">IF(S27&gt;0,S$4,"")</f>
        <v/>
      </c>
      <c r="T29" s="34" t="str">
        <f aca="false">IF(T27&gt;0,T$4,"")</f>
        <v/>
      </c>
      <c r="U29" s="34" t="str">
        <f aca="false">IF(U27&gt;0,U$4,"")</f>
        <v/>
      </c>
      <c r="V29" s="34" t="str">
        <f aca="false">IF(V27&gt;0,V$4,"")</f>
        <v/>
      </c>
      <c r="W29" s="34" t="str">
        <f aca="false">IF(W27&gt;0,W$4,"")</f>
        <v/>
      </c>
      <c r="X29" s="34" t="str">
        <f aca="false">IF(X27&gt;0,X$4,"")</f>
        <v/>
      </c>
      <c r="Y29" s="34" t="str">
        <f aca="false">IF(Y27&gt;0,Y$4,"")</f>
        <v/>
      </c>
      <c r="Z29" s="34" t="str">
        <f aca="false">IF(Z27&gt;0,Z$4,"")</f>
        <v/>
      </c>
      <c r="AA29" s="34" t="str">
        <f aca="false">IF(AA27&gt;0,AA$4,"")</f>
        <v/>
      </c>
      <c r="AB29" s="34" t="str">
        <f aca="false">IF(AB27&gt;0,AB$4,"")</f>
        <v/>
      </c>
      <c r="AC29" s="34" t="str">
        <f aca="false">IF(AC27&gt;0,AC$4,"")</f>
        <v/>
      </c>
      <c r="AD29" s="34" t="str">
        <f aca="false">IF(AD27&gt;0,AD$4,"")</f>
        <v/>
      </c>
      <c r="AE29" s="34" t="str">
        <f aca="false">IF(AE27&gt;0,AE$4,"")</f>
        <v/>
      </c>
      <c r="AF29" s="34" t="str">
        <f aca="false">IF(AF27&gt;0,AF$4,"")</f>
        <v/>
      </c>
      <c r="AG29" s="34" t="str">
        <f aca="false">IF(AG27&gt;0,AG$4,"")</f>
        <v/>
      </c>
      <c r="AH29" s="34" t="str">
        <f aca="false">IF(AH27&gt;0,AH$4,"")</f>
        <v/>
      </c>
      <c r="AI29" s="34" t="str">
        <f aca="false">IF(AI27&gt;0,AI$4,"")</f>
        <v/>
      </c>
      <c r="AJ29" s="34" t="str">
        <f aca="false">IF(AJ27&gt;0,AJ$4,"")</f>
        <v/>
      </c>
      <c r="AK29" s="34" t="str">
        <f aca="false">IF(AK27&gt;0,AK$4,"")</f>
        <v/>
      </c>
      <c r="AL29" s="34" t="str">
        <f aca="false">IF(AL27&gt;0,AL$4,"")</f>
        <v/>
      </c>
    </row>
    <row r="30" customFormat="false" ht="15" hidden="false" customHeight="false" outlineLevel="0" collapsed="false">
      <c r="A30" s="3" t="s">
        <v>153</v>
      </c>
      <c r="B30" s="3"/>
      <c r="C30" s="34" t="str">
        <f aca="false">IF(C28&gt;=0,C$4,"")</f>
        <v/>
      </c>
      <c r="D30" s="34" t="str">
        <f aca="false">IF(D28&gt;=0,D$4,"")</f>
        <v/>
      </c>
      <c r="E30" s="34" t="str">
        <f aca="false">IF(E28&gt;=0,E$4,"")</f>
        <v/>
      </c>
      <c r="F30" s="34" t="str">
        <f aca="false">IF(F28&gt;=0,F$4,"")</f>
        <v/>
      </c>
      <c r="G30" s="34" t="str">
        <f aca="false">IF(G28&gt;=0,G$4,"")</f>
        <v/>
      </c>
      <c r="H30" s="34" t="str">
        <f aca="false">IF(H28&gt;=0,H$4,"")</f>
        <v/>
      </c>
      <c r="I30" s="34" t="str">
        <f aca="false">IF(I28&gt;=0,I$4,"")</f>
        <v/>
      </c>
      <c r="J30" s="34" t="str">
        <f aca="false">IF(J28&gt;=0,J$4,"")</f>
        <v/>
      </c>
      <c r="K30" s="34" t="str">
        <f aca="false">IF(K28&gt;=0,K$4,"")</f>
        <v/>
      </c>
      <c r="L30" s="34" t="str">
        <f aca="false">IF(L28&gt;=0,L$4,"")</f>
        <v/>
      </c>
      <c r="M30" s="34" t="str">
        <f aca="false">IF(M28&gt;=0,M$4,"")</f>
        <v/>
      </c>
      <c r="N30" s="34" t="str">
        <f aca="false">IF(N28&gt;=0,N$4,"")</f>
        <v/>
      </c>
      <c r="O30" s="34" t="str">
        <f aca="false">IF(O28&gt;=0,O$4,"")</f>
        <v/>
      </c>
      <c r="P30" s="34" t="str">
        <f aca="false">IF(P28&gt;=0,P$4,"")</f>
        <v/>
      </c>
      <c r="Q30" s="34" t="str">
        <f aca="false">IF(Q28&gt;=0,Q$4,"")</f>
        <v/>
      </c>
      <c r="R30" s="34" t="str">
        <f aca="false">IF(R28&gt;=0,R$4,"")</f>
        <v/>
      </c>
      <c r="S30" s="34" t="str">
        <f aca="false">IF(S28&gt;=0,S$4,"")</f>
        <v/>
      </c>
      <c r="T30" s="34" t="str">
        <f aca="false">IF(T28&gt;=0,T$4,"")</f>
        <v/>
      </c>
      <c r="U30" s="34" t="str">
        <f aca="false">IF(U28&gt;=0,U$4,"")</f>
        <v/>
      </c>
      <c r="V30" s="34" t="str">
        <f aca="false">IF(V28&gt;=0,V$4,"")</f>
        <v/>
      </c>
      <c r="W30" s="34" t="str">
        <f aca="false">IF(W28&gt;=0,W$4,"")</f>
        <v/>
      </c>
      <c r="X30" s="34" t="str">
        <f aca="false">IF(X28&gt;=0,X$4,"")</f>
        <v/>
      </c>
      <c r="Y30" s="34" t="str">
        <f aca="false">IF(Y28&gt;=0,Y$4,"")</f>
        <v/>
      </c>
      <c r="Z30" s="34" t="str">
        <f aca="false">IF(Z28&gt;=0,Z$4,"")</f>
        <v/>
      </c>
      <c r="AA30" s="34" t="str">
        <f aca="false">IF(AA28&gt;=0,AA$4,"")</f>
        <v/>
      </c>
      <c r="AB30" s="34" t="str">
        <f aca="false">IF(AB28&gt;=0,AB$4,"")</f>
        <v/>
      </c>
      <c r="AC30" s="34" t="str">
        <f aca="false">IF(AC28&gt;=0,AC$4,"")</f>
        <v/>
      </c>
      <c r="AD30" s="34" t="str">
        <f aca="false">IF(AD28&gt;=0,AD$4,"")</f>
        <v/>
      </c>
      <c r="AE30" s="34" t="str">
        <f aca="false">IF(AE28&gt;=0,AE$4,"")</f>
        <v/>
      </c>
      <c r="AF30" s="34" t="str">
        <f aca="false">IF(AF28&gt;=0,AF$4,"")</f>
        <v/>
      </c>
      <c r="AG30" s="34" t="str">
        <f aca="false">IF(AG28&gt;=0,AG$4,"")</f>
        <v/>
      </c>
      <c r="AH30" s="34" t="str">
        <f aca="false">IF(AH28&gt;=0,AH$4,"")</f>
        <v/>
      </c>
      <c r="AI30" s="34" t="str">
        <f aca="false">IF(AI28&gt;=0,AI$4,"")</f>
        <v/>
      </c>
      <c r="AJ30" s="34" t="str">
        <f aca="false">IF(AJ28&gt;=0,AJ$4,"")</f>
        <v/>
      </c>
      <c r="AK30" s="34" t="str">
        <f aca="false">IF(AK28&gt;=0,AK$4,"")</f>
        <v/>
      </c>
      <c r="AL30" s="34" t="str">
        <f aca="false">IF(AL28&gt;=0,AL$4,"")</f>
        <v/>
      </c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customFormat="false" ht="15" hidden="false" customHeight="false" outlineLevel="0" collapsed="false">
      <c r="A33" s="4" t="s">
        <v>154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customFormat="false" ht="15" hidden="false" customHeight="false" outlineLevel="0" collapsed="false">
      <c r="A34" s="6" t="s">
        <v>134</v>
      </c>
      <c r="B34" s="3" t="s">
        <v>67</v>
      </c>
      <c r="C34" s="16" t="n">
        <f aca="false">CHOOSE(C$6,Допущения!$D$24,Допущения!$D$25,Допущения!$D$26)</f>
        <v>3</v>
      </c>
      <c r="D34" s="16" t="n">
        <f aca="false">CHOOSE(D$6,Допущения!$D$24,Допущения!$D$25,Допущения!$D$26)</f>
        <v>3</v>
      </c>
      <c r="E34" s="16" t="n">
        <f aca="false">CHOOSE(E$6,Допущения!$D$24,Допущения!$D$25,Допущения!$D$26)</f>
        <v>3</v>
      </c>
      <c r="F34" s="16" t="n">
        <f aca="false">CHOOSE(F$6,Допущения!$D$24,Допущения!$D$25,Допущения!$D$26)</f>
        <v>3</v>
      </c>
      <c r="G34" s="16" t="n">
        <f aca="false">CHOOSE(G$6,Допущения!$D$24,Допущения!$D$25,Допущения!$D$26)</f>
        <v>3</v>
      </c>
      <c r="H34" s="16" t="n">
        <f aca="false">CHOOSE(H$6,Допущения!$D$24,Допущения!$D$25,Допущения!$D$26)</f>
        <v>3</v>
      </c>
      <c r="I34" s="16" t="n">
        <f aca="false">CHOOSE(I$6,Допущения!$D$24,Допущения!$D$25,Допущения!$D$26)</f>
        <v>3</v>
      </c>
      <c r="J34" s="16" t="n">
        <f aca="false">CHOOSE(J$6,Допущения!$D$24,Допущения!$D$25,Допущения!$D$26)</f>
        <v>3</v>
      </c>
      <c r="K34" s="16" t="n">
        <f aca="false">CHOOSE(K$6,Допущения!$D$24,Допущения!$D$25,Допущения!$D$26)</f>
        <v>3</v>
      </c>
      <c r="L34" s="16" t="n">
        <f aca="false">CHOOSE(L$6,Допущения!$D$24,Допущения!$D$25,Допущения!$D$26)</f>
        <v>3</v>
      </c>
      <c r="M34" s="16" t="n">
        <f aca="false">CHOOSE(M$6,Допущения!$D$24,Допущения!$D$25,Допущения!$D$26)</f>
        <v>3</v>
      </c>
      <c r="N34" s="16" t="n">
        <f aca="false">CHOOSE(N$6,Допущения!$D$24,Допущения!$D$25,Допущения!$D$26)</f>
        <v>3</v>
      </c>
      <c r="O34" s="16" t="n">
        <f aca="false">CHOOSE(O$6,Допущения!$D$24,Допущения!$D$25,Допущения!$D$26)</f>
        <v>5</v>
      </c>
      <c r="P34" s="16" t="n">
        <f aca="false">CHOOSE(P$6,Допущения!$D$24,Допущения!$D$25,Допущения!$D$26)</f>
        <v>5</v>
      </c>
      <c r="Q34" s="16" t="n">
        <f aca="false">CHOOSE(Q$6,Допущения!$D$24,Допущения!$D$25,Допущения!$D$26)</f>
        <v>5</v>
      </c>
      <c r="R34" s="16" t="n">
        <f aca="false">CHOOSE(R$6,Допущения!$D$24,Допущения!$D$25,Допущения!$D$26)</f>
        <v>5</v>
      </c>
      <c r="S34" s="16" t="n">
        <f aca="false">CHOOSE(S$6,Допущения!$D$24,Допущения!$D$25,Допущения!$D$26)</f>
        <v>5</v>
      </c>
      <c r="T34" s="16" t="n">
        <f aca="false">CHOOSE(T$6,Допущения!$D$24,Допущения!$D$25,Допущения!$D$26)</f>
        <v>5</v>
      </c>
      <c r="U34" s="16" t="n">
        <f aca="false">CHOOSE(U$6,Допущения!$D$24,Допущения!$D$25,Допущения!$D$26)</f>
        <v>5</v>
      </c>
      <c r="V34" s="16" t="n">
        <f aca="false">CHOOSE(V$6,Допущения!$D$24,Допущения!$D$25,Допущения!$D$26)</f>
        <v>5</v>
      </c>
      <c r="W34" s="16" t="n">
        <f aca="false">CHOOSE(W$6,Допущения!$D$24,Допущения!$D$25,Допущения!$D$26)</f>
        <v>5</v>
      </c>
      <c r="X34" s="16" t="n">
        <f aca="false">CHOOSE(X$6,Допущения!$D$24,Допущения!$D$25,Допущения!$D$26)</f>
        <v>5</v>
      </c>
      <c r="Y34" s="16" t="n">
        <f aca="false">CHOOSE(Y$6,Допущения!$D$24,Допущения!$D$25,Допущения!$D$26)</f>
        <v>5</v>
      </c>
      <c r="Z34" s="16" t="n">
        <f aca="false">CHOOSE(Z$6,Допущения!$D$24,Допущения!$D$25,Допущения!$D$26)</f>
        <v>5</v>
      </c>
      <c r="AA34" s="16" t="n">
        <f aca="false">CHOOSE(AA$6,Допущения!$D$24,Допущения!$D$25,Допущения!$D$26)</f>
        <v>7</v>
      </c>
      <c r="AB34" s="16" t="n">
        <f aca="false">CHOOSE(AB$6,Допущения!$D$24,Допущения!$D$25,Допущения!$D$26)</f>
        <v>7</v>
      </c>
      <c r="AC34" s="16" t="n">
        <f aca="false">CHOOSE(AC$6,Допущения!$D$24,Допущения!$D$25,Допущения!$D$26)</f>
        <v>7</v>
      </c>
      <c r="AD34" s="16" t="n">
        <f aca="false">CHOOSE(AD$6,Допущения!$D$24,Допущения!$D$25,Допущения!$D$26)</f>
        <v>7</v>
      </c>
      <c r="AE34" s="16" t="n">
        <f aca="false">CHOOSE(AE$6,Допущения!$D$24,Допущения!$D$25,Допущения!$D$26)</f>
        <v>7</v>
      </c>
      <c r="AF34" s="16" t="n">
        <f aca="false">CHOOSE(AF$6,Допущения!$D$24,Допущения!$D$25,Допущения!$D$26)</f>
        <v>7</v>
      </c>
      <c r="AG34" s="16" t="n">
        <f aca="false">CHOOSE(AG$6,Допущения!$D$24,Допущения!$D$25,Допущения!$D$26)</f>
        <v>7</v>
      </c>
      <c r="AH34" s="16" t="n">
        <f aca="false">CHOOSE(AH$6,Допущения!$D$24,Допущения!$D$25,Допущения!$D$26)</f>
        <v>7</v>
      </c>
      <c r="AI34" s="16" t="n">
        <f aca="false">CHOOSE(AI$6,Допущения!$D$24,Допущения!$D$25,Допущения!$D$26)</f>
        <v>7</v>
      </c>
      <c r="AJ34" s="16" t="n">
        <f aca="false">CHOOSE(AJ$6,Допущения!$D$24,Допущения!$D$25,Допущения!$D$26)</f>
        <v>7</v>
      </c>
      <c r="AK34" s="16" t="n">
        <f aca="false">CHOOSE(AK$6,Допущения!$D$24,Допущения!$D$25,Допущения!$D$26)</f>
        <v>7</v>
      </c>
      <c r="AL34" s="16" t="n">
        <f aca="false">CHOOSE(AL$6,Допущения!$D$24,Допущения!$D$25,Допущения!$D$26)</f>
        <v>7</v>
      </c>
    </row>
    <row r="35" customFormat="false" ht="15" hidden="false" customHeight="false" outlineLevel="0" collapsed="false">
      <c r="A35" s="6" t="s">
        <v>135</v>
      </c>
      <c r="B35" s="3" t="s">
        <v>67</v>
      </c>
      <c r="C35" s="16" t="n">
        <f aca="false">0</f>
        <v>0</v>
      </c>
      <c r="D35" s="16" t="n">
        <f aca="false">C36*Допущения!$D$27</f>
        <v>0.135</v>
      </c>
      <c r="E35" s="16" t="n">
        <f aca="false">D36*Допущения!$D$27</f>
        <v>0.263925</v>
      </c>
      <c r="F35" s="16" t="n">
        <f aca="false">E36*Допущения!$D$27</f>
        <v>0.387048375</v>
      </c>
      <c r="G35" s="16" t="n">
        <f aca="false">F36*Допущения!$D$27</f>
        <v>0.504631198125</v>
      </c>
      <c r="H35" s="16" t="n">
        <f aca="false">G36*Допущения!$D$27</f>
        <v>0.616922794209375</v>
      </c>
      <c r="I35" s="16" t="n">
        <f aca="false">H36*Допущения!$D$27</f>
        <v>0.724161268469953</v>
      </c>
      <c r="J35" s="16" t="n">
        <f aca="false">I36*Допущения!$D$27</f>
        <v>0.826574011388805</v>
      </c>
      <c r="K35" s="16" t="n">
        <f aca="false">J36*Допущения!$D$27</f>
        <v>0.924378180876309</v>
      </c>
      <c r="L35" s="16" t="n">
        <f aca="false">K36*Допущения!$D$27</f>
        <v>1.01778116273688</v>
      </c>
      <c r="M35" s="16" t="n">
        <f aca="false">L36*Допущения!$D$27</f>
        <v>1.10698101041372</v>
      </c>
      <c r="N35" s="16" t="n">
        <f aca="false">M36*Допущения!$D$27</f>
        <v>1.1921668649451</v>
      </c>
      <c r="O35" s="16" t="n">
        <f aca="false">N36*Допущения!$D$27</f>
        <v>1.27351935602257</v>
      </c>
      <c r="P35" s="16" t="n">
        <f aca="false">O36*Допущения!$D$27</f>
        <v>1.44121098500155</v>
      </c>
      <c r="Q35" s="16" t="n">
        <f aca="false">P36*Допущения!$D$27</f>
        <v>1.60135649067648</v>
      </c>
      <c r="R35" s="16" t="n">
        <f aca="false">Q36*Допущения!$D$27</f>
        <v>1.75429544859604</v>
      </c>
      <c r="S35" s="16" t="n">
        <f aca="false">R36*Допущения!$D$27</f>
        <v>1.90035215340922</v>
      </c>
      <c r="T35" s="16" t="n">
        <f aca="false">S36*Допущения!$D$27</f>
        <v>2.03983630650581</v>
      </c>
      <c r="U35" s="16" t="n">
        <f aca="false">T36*Допущения!$D$27</f>
        <v>2.17304367271304</v>
      </c>
      <c r="V35" s="16" t="n">
        <f aca="false">U36*Допущения!$D$27</f>
        <v>2.30025670744096</v>
      </c>
      <c r="W35" s="16" t="n">
        <f aca="false">V36*Допущения!$D$27</f>
        <v>2.42174515560611</v>
      </c>
      <c r="X35" s="16" t="n">
        <f aca="false">W36*Допущения!$D$27</f>
        <v>2.53776662360384</v>
      </c>
      <c r="Y35" s="16" t="n">
        <f aca="false">X36*Допущения!$D$27</f>
        <v>2.64856712554167</v>
      </c>
      <c r="Z35" s="16" t="n">
        <f aca="false">Y36*Допущения!$D$27</f>
        <v>2.75438160489229</v>
      </c>
      <c r="AA35" s="16" t="n">
        <f aca="false">Z36*Допущения!$D$27</f>
        <v>2.85543443267214</v>
      </c>
      <c r="AB35" s="16" t="n">
        <f aca="false">AA36*Допущения!$D$27</f>
        <v>3.04193988320189</v>
      </c>
      <c r="AC35" s="16" t="n">
        <f aca="false">AB36*Допущения!$D$27</f>
        <v>3.22005258845781</v>
      </c>
      <c r="AD35" s="16" t="n">
        <f aca="false">AC36*Допущения!$D$27</f>
        <v>3.39015022197721</v>
      </c>
      <c r="AE35" s="16" t="n">
        <f aca="false">AD36*Допущения!$D$27</f>
        <v>3.55259346198823</v>
      </c>
      <c r="AF35" s="16" t="n">
        <f aca="false">AE36*Допущения!$D$27</f>
        <v>3.70772675619876</v>
      </c>
      <c r="AG35" s="16" t="n">
        <f aca="false">AF36*Допущения!$D$27</f>
        <v>3.85587905216982</v>
      </c>
      <c r="AH35" s="16" t="n">
        <f aca="false">AG36*Допущения!$D$27</f>
        <v>3.99736449482217</v>
      </c>
      <c r="AI35" s="16" t="n">
        <f aca="false">AH36*Допущения!$D$27</f>
        <v>4.13248309255518</v>
      </c>
      <c r="AJ35" s="16" t="n">
        <f aca="false">AI36*Допущения!$D$27</f>
        <v>4.26152135339019</v>
      </c>
      <c r="AK35" s="16" t="n">
        <f aca="false">AJ36*Допущения!$D$27</f>
        <v>4.38475289248764</v>
      </c>
      <c r="AL35" s="16" t="n">
        <f aca="false">AK36*Допущения!$D$27</f>
        <v>4.50243901232569</v>
      </c>
    </row>
    <row r="36" customFormat="false" ht="15" hidden="false" customHeight="false" outlineLevel="0" collapsed="false">
      <c r="A36" s="6" t="s">
        <v>136</v>
      </c>
      <c r="B36" s="3" t="s">
        <v>67</v>
      </c>
      <c r="C36" s="16" t="n">
        <f aca="false">C34</f>
        <v>3</v>
      </c>
      <c r="D36" s="16" t="n">
        <f aca="false">C36+D34-D35</f>
        <v>5.865</v>
      </c>
      <c r="E36" s="16" t="n">
        <f aca="false">D36+E34-E35</f>
        <v>8.601075</v>
      </c>
      <c r="F36" s="16" t="n">
        <f aca="false">E36+F34-F35</f>
        <v>11.214026625</v>
      </c>
      <c r="G36" s="16" t="n">
        <f aca="false">F36+G34-G35</f>
        <v>13.709395426875</v>
      </c>
      <c r="H36" s="16" t="n">
        <f aca="false">G36+H34-H35</f>
        <v>16.0924726326656</v>
      </c>
      <c r="I36" s="16" t="n">
        <f aca="false">H36+I34-I35</f>
        <v>18.3683113641957</v>
      </c>
      <c r="J36" s="16" t="n">
        <f aca="false">I36+J34-J35</f>
        <v>20.5417373528069</v>
      </c>
      <c r="K36" s="16" t="n">
        <f aca="false">J36+K34-K35</f>
        <v>22.6173591719306</v>
      </c>
      <c r="L36" s="16" t="n">
        <f aca="false">K36+L34-L35</f>
        <v>24.5995780091937</v>
      </c>
      <c r="M36" s="16" t="n">
        <f aca="false">L36+M34-M35</f>
        <v>26.49259699878</v>
      </c>
      <c r="N36" s="16" t="n">
        <f aca="false">M36+N34-N35</f>
        <v>28.3004301338349</v>
      </c>
      <c r="O36" s="16" t="n">
        <f aca="false">N36+O34-O35</f>
        <v>32.0269107778123</v>
      </c>
      <c r="P36" s="16" t="n">
        <f aca="false">O36+P34-P35</f>
        <v>35.5856997928107</v>
      </c>
      <c r="Q36" s="16" t="n">
        <f aca="false">P36+Q34-Q35</f>
        <v>38.9843433021343</v>
      </c>
      <c r="R36" s="16" t="n">
        <f aca="false">Q36+R34-R35</f>
        <v>42.2300478535382</v>
      </c>
      <c r="S36" s="16" t="n">
        <f aca="false">R36+S34-S35</f>
        <v>45.329695700129</v>
      </c>
      <c r="T36" s="16" t="n">
        <f aca="false">S36+T34-T35</f>
        <v>48.2898593936232</v>
      </c>
      <c r="U36" s="16" t="n">
        <f aca="false">T36+U34-U35</f>
        <v>51.1168157209102</v>
      </c>
      <c r="V36" s="16" t="n">
        <f aca="false">U36+V34-V35</f>
        <v>53.8165590134692</v>
      </c>
      <c r="W36" s="16" t="n">
        <f aca="false">V36+W34-W35</f>
        <v>56.3948138578631</v>
      </c>
      <c r="X36" s="16" t="n">
        <f aca="false">W36+X34-X35</f>
        <v>58.8570472342593</v>
      </c>
      <c r="Y36" s="16" t="n">
        <f aca="false">X36+Y34-Y35</f>
        <v>61.2084801087176</v>
      </c>
      <c r="Z36" s="16" t="n">
        <f aca="false">Y36+Z34-Z35</f>
        <v>63.4540985038253</v>
      </c>
      <c r="AA36" s="16" t="n">
        <f aca="false">Z36+AA34-AA35</f>
        <v>67.5986640711532</v>
      </c>
      <c r="AB36" s="16" t="n">
        <f aca="false">AA36+AB34-AB35</f>
        <v>71.5567241879513</v>
      </c>
      <c r="AC36" s="16" t="n">
        <f aca="false">AB36+AC34-AC35</f>
        <v>75.3366715994935</v>
      </c>
      <c r="AD36" s="16" t="n">
        <f aca="false">AC36+AD34-AD35</f>
        <v>78.9465213775163</v>
      </c>
      <c r="AE36" s="16" t="n">
        <f aca="false">AD36+AE34-AE35</f>
        <v>82.393927915528</v>
      </c>
      <c r="AF36" s="16" t="n">
        <f aca="false">AE36+AF34-AF35</f>
        <v>85.6862011593292</v>
      </c>
      <c r="AG36" s="16" t="n">
        <f aca="false">AF36+AG34-AG35</f>
        <v>88.8303221071594</v>
      </c>
      <c r="AH36" s="16" t="n">
        <f aca="false">AG36+AH34-AH35</f>
        <v>91.8329576123373</v>
      </c>
      <c r="AI36" s="16" t="n">
        <f aca="false">AH36+AI34-AI35</f>
        <v>94.7004745197821</v>
      </c>
      <c r="AJ36" s="16" t="n">
        <f aca="false">AI36+AJ34-AJ35</f>
        <v>97.4389531663919</v>
      </c>
      <c r="AK36" s="16" t="n">
        <f aca="false">AJ36+AK34-AK35</f>
        <v>100.054200273904</v>
      </c>
      <c r="AL36" s="16" t="n">
        <f aca="false">AK36+AL34-AL35</f>
        <v>102.551761261579</v>
      </c>
    </row>
    <row r="37" customFormat="false" ht="15" hidden="false" customHeight="false" outlineLevel="0" collapsed="false">
      <c r="A37" s="6" t="s">
        <v>137</v>
      </c>
      <c r="B37" s="3" t="s">
        <v>67</v>
      </c>
      <c r="C37" s="16" t="n">
        <f aca="false">C36*Допущения!$D$28*C$7</f>
        <v>2.88</v>
      </c>
      <c r="D37" s="16" t="n">
        <f aca="false">D36*Допущения!$D$28*D$7</f>
        <v>4.2228</v>
      </c>
      <c r="E37" s="16" t="n">
        <f aca="false">E36*Допущения!$D$28*E$7</f>
        <v>6.192774</v>
      </c>
      <c r="F37" s="16" t="n">
        <f aca="false">F36*Допущения!$D$28*F$7</f>
        <v>13.45683195</v>
      </c>
      <c r="G37" s="16" t="n">
        <f aca="false">G36*Допущения!$D$28*G$7</f>
        <v>18.096401963475</v>
      </c>
      <c r="H37" s="16" t="n">
        <f aca="false">H36*Допущения!$D$28*H$7</f>
        <v>23.1731605910385</v>
      </c>
      <c r="I37" s="16" t="n">
        <f aca="false">I36*Допущения!$D$28*I$7</f>
        <v>28.6545657281452</v>
      </c>
      <c r="J37" s="16" t="n">
        <f aca="false">J36*Допущения!$D$28*J$7</f>
        <v>19.7200678586946</v>
      </c>
      <c r="K37" s="16" t="n">
        <f aca="false">K36*Допущения!$D$28*K$7</f>
        <v>24.426747905685</v>
      </c>
      <c r="L37" s="16" t="n">
        <f aca="false">L36*Допущения!$D$28*L$7</f>
        <v>29.5194936110324</v>
      </c>
      <c r="M37" s="16" t="n">
        <f aca="false">M36*Допущения!$D$28*M$7</f>
        <v>31.791116398536</v>
      </c>
      <c r="N37" s="16" t="n">
        <f aca="false">N36*Допущения!$D$28*N$7</f>
        <v>33.9605161606018</v>
      </c>
      <c r="O37" s="16" t="n">
        <f aca="false">O36*Допущения!$D$28*O$7</f>
        <v>30.7458343466998</v>
      </c>
      <c r="P37" s="16" t="n">
        <f aca="false">P36*Допущения!$D$28*P$7</f>
        <v>25.6217038508237</v>
      </c>
      <c r="Q37" s="16" t="n">
        <f aca="false">Q36*Допущения!$D$28*Q$7</f>
        <v>28.0687271775367</v>
      </c>
      <c r="R37" s="16" t="n">
        <f aca="false">R36*Допущения!$D$28*R$7</f>
        <v>50.6760574242459</v>
      </c>
      <c r="S37" s="16" t="n">
        <f aca="false">S36*Допущения!$D$28*S$7</f>
        <v>59.8351983241703</v>
      </c>
      <c r="T37" s="16" t="n">
        <f aca="false">T36*Допущения!$D$28*T$7</f>
        <v>69.5373975268174</v>
      </c>
      <c r="U37" s="16" t="n">
        <f aca="false">U36*Допущения!$D$28*U$7</f>
        <v>79.7422325246198</v>
      </c>
      <c r="V37" s="16" t="n">
        <f aca="false">V36*Допущения!$D$28*V$7</f>
        <v>51.6638966529304</v>
      </c>
      <c r="W37" s="16" t="n">
        <f aca="false">W36*Допущения!$D$28*W$7</f>
        <v>60.9063989664921</v>
      </c>
      <c r="X37" s="16" t="n">
        <f aca="false">X36*Допущения!$D$28*X$7</f>
        <v>70.6284566811111</v>
      </c>
      <c r="Y37" s="16" t="n">
        <f aca="false">Y36*Допущения!$D$28*Y$7</f>
        <v>73.4501761304611</v>
      </c>
      <c r="Z37" s="16" t="n">
        <f aca="false">Z36*Допущения!$D$28*Z$7</f>
        <v>76.1449182045904</v>
      </c>
      <c r="AA37" s="16" t="n">
        <f aca="false">AA36*Допущения!$D$28*AA$7</f>
        <v>64.894717508307</v>
      </c>
      <c r="AB37" s="16" t="n">
        <f aca="false">AB36*Допущения!$D$28*AB$7</f>
        <v>51.5208414153249</v>
      </c>
      <c r="AC37" s="16" t="n">
        <f aca="false">AC36*Допущения!$D$28*AC$7</f>
        <v>54.2424035516353</v>
      </c>
      <c r="AD37" s="16" t="n">
        <f aca="false">AD36*Допущения!$D$28*AD$7</f>
        <v>94.7358256530195</v>
      </c>
      <c r="AE37" s="16" t="n">
        <f aca="false">AE36*Допущения!$D$28*AE$7</f>
        <v>108.759984848497</v>
      </c>
      <c r="AF37" s="16" t="n">
        <f aca="false">AF36*Допущения!$D$28*AF$7</f>
        <v>123.388129669434</v>
      </c>
      <c r="AG37" s="16" t="n">
        <f aca="false">AG36*Допущения!$D$28*AG$7</f>
        <v>138.575302487169</v>
      </c>
      <c r="AH37" s="16" t="n">
        <f aca="false">AH36*Допущения!$D$28*AH$7</f>
        <v>88.1596393078438</v>
      </c>
      <c r="AI37" s="16" t="n">
        <f aca="false">AI36*Допущения!$D$28*AI$7</f>
        <v>102.276512481365</v>
      </c>
      <c r="AJ37" s="16" t="n">
        <f aca="false">AJ36*Допущения!$D$28*AJ$7</f>
        <v>116.92674379967</v>
      </c>
      <c r="AK37" s="16" t="n">
        <f aca="false">AK36*Допущения!$D$28*AK$7</f>
        <v>120.065040328685</v>
      </c>
      <c r="AL37" s="16" t="n">
        <f aca="false">AL36*Допущения!$D$28*AL$7</f>
        <v>123.062113513894</v>
      </c>
    </row>
    <row r="38" customFormat="false" ht="15" hidden="false" customHeight="false" outlineLevel="0" collapsed="false">
      <c r="A38" s="6" t="s">
        <v>10</v>
      </c>
      <c r="B38" s="3" t="s">
        <v>67</v>
      </c>
      <c r="C38" s="12" t="n">
        <f aca="false">C37*Допущения!$D$29</f>
        <v>316.8</v>
      </c>
      <c r="D38" s="12" t="n">
        <f aca="false">D37*Допущения!$D$29</f>
        <v>464.508</v>
      </c>
      <c r="E38" s="12" t="n">
        <f aca="false">E37*Допущения!$D$29</f>
        <v>681.20514</v>
      </c>
      <c r="F38" s="12" t="n">
        <f aca="false">F37*Допущения!$D$29</f>
        <v>1480.2515145</v>
      </c>
      <c r="G38" s="12" t="n">
        <f aca="false">G37*Допущения!$D$29</f>
        <v>1990.60421598225</v>
      </c>
      <c r="H38" s="12" t="n">
        <f aca="false">H37*Допущения!$D$29</f>
        <v>2549.04766501423</v>
      </c>
      <c r="I38" s="12" t="n">
        <f aca="false">I37*Допущения!$D$29</f>
        <v>3152.00223009598</v>
      </c>
      <c r="J38" s="12" t="n">
        <f aca="false">J37*Допущения!$D$29</f>
        <v>2169.20746445641</v>
      </c>
      <c r="K38" s="12" t="n">
        <f aca="false">K37*Допущения!$D$29</f>
        <v>2686.94226962535</v>
      </c>
      <c r="L38" s="12" t="n">
        <f aca="false">L37*Допущения!$D$29</f>
        <v>3247.14429721357</v>
      </c>
      <c r="M38" s="12" t="n">
        <f aca="false">M37*Допущения!$D$29</f>
        <v>3497.02280383896</v>
      </c>
      <c r="N38" s="12" t="n">
        <f aca="false">N37*Допущения!$D$29</f>
        <v>3735.6567776662</v>
      </c>
      <c r="O38" s="12" t="n">
        <f aca="false">O37*Допущения!$D$29</f>
        <v>3382.04177813698</v>
      </c>
      <c r="P38" s="12" t="n">
        <f aca="false">P37*Допущения!$D$29</f>
        <v>2818.38742359061</v>
      </c>
      <c r="Q38" s="12" t="n">
        <f aca="false">Q37*Допущения!$D$29</f>
        <v>3087.55998952903</v>
      </c>
      <c r="R38" s="12" t="n">
        <f aca="false">R37*Допущения!$D$29</f>
        <v>5574.36631666705</v>
      </c>
      <c r="S38" s="12" t="n">
        <f aca="false">S37*Допущения!$D$29</f>
        <v>6581.87181565873</v>
      </c>
      <c r="T38" s="12" t="n">
        <f aca="false">T37*Допущения!$D$29</f>
        <v>7649.11372794991</v>
      </c>
      <c r="U38" s="12" t="n">
        <f aca="false">U37*Допущения!$D$29</f>
        <v>8771.64557770818</v>
      </c>
      <c r="V38" s="12" t="n">
        <f aca="false">V37*Допущения!$D$29</f>
        <v>5683.02863182235</v>
      </c>
      <c r="W38" s="12" t="n">
        <f aca="false">W37*Допущения!$D$29</f>
        <v>6699.70388631413</v>
      </c>
      <c r="X38" s="12" t="n">
        <f aca="false">X37*Допущения!$D$29</f>
        <v>7769.13023492222</v>
      </c>
      <c r="Y38" s="12" t="n">
        <f aca="false">Y37*Допущения!$D$29</f>
        <v>8079.51937435072</v>
      </c>
      <c r="Z38" s="12" t="n">
        <f aca="false">Z37*Допущения!$D$29</f>
        <v>8375.94100250494</v>
      </c>
      <c r="AA38" s="12" t="n">
        <f aca="false">AA37*Допущения!$D$29</f>
        <v>7138.41892591377</v>
      </c>
      <c r="AB38" s="12" t="n">
        <f aca="false">AB37*Допущения!$D$29</f>
        <v>5667.29255568574</v>
      </c>
      <c r="AC38" s="12" t="n">
        <f aca="false">AC37*Допущения!$D$29</f>
        <v>5966.66439067988</v>
      </c>
      <c r="AD38" s="12" t="n">
        <f aca="false">AD37*Допущения!$D$29</f>
        <v>10420.9408218321</v>
      </c>
      <c r="AE38" s="12" t="n">
        <f aca="false">AE37*Допущения!$D$29</f>
        <v>11963.5983333347</v>
      </c>
      <c r="AF38" s="12" t="n">
        <f aca="false">AF37*Допущения!$D$29</f>
        <v>13572.6942636378</v>
      </c>
      <c r="AG38" s="12" t="n">
        <f aca="false">AG37*Допущения!$D$29</f>
        <v>15243.2832735886</v>
      </c>
      <c r="AH38" s="12" t="n">
        <f aca="false">AH37*Допущения!$D$29</f>
        <v>9697.56032386281</v>
      </c>
      <c r="AI38" s="12" t="n">
        <f aca="false">AI37*Допущения!$D$29</f>
        <v>11250.4163729501</v>
      </c>
      <c r="AJ38" s="12" t="n">
        <f aca="false">AJ37*Допущения!$D$29</f>
        <v>12861.9418179637</v>
      </c>
      <c r="AK38" s="12" t="n">
        <f aca="false">AK37*Допущения!$D$29</f>
        <v>13207.1544361554</v>
      </c>
      <c r="AL38" s="12" t="n">
        <f aca="false">AL37*Допущения!$D$29</f>
        <v>13536.8324865284</v>
      </c>
    </row>
    <row r="39" customFormat="false" ht="15" hidden="false" customHeight="false" outlineLevel="0" collapsed="false">
      <c r="A39" s="6" t="s">
        <v>138</v>
      </c>
      <c r="B39" s="3" t="s">
        <v>67</v>
      </c>
      <c r="C39" s="12" t="n">
        <f aca="false">C38*(1-Допущения!$C$12)</f>
        <v>285.12</v>
      </c>
      <c r="D39" s="12" t="n">
        <f aca="false">D38*(1-Допущения!$C$12)</f>
        <v>418.0572</v>
      </c>
      <c r="E39" s="12" t="n">
        <f aca="false">E38*(1-Допущения!$C$12)</f>
        <v>613.084626</v>
      </c>
      <c r="F39" s="12" t="n">
        <f aca="false">F38*(1-Допущения!$C$12)</f>
        <v>1332.22636305</v>
      </c>
      <c r="G39" s="12" t="n">
        <f aca="false">G38*(1-Допущения!$C$12)</f>
        <v>1791.54379438403</v>
      </c>
      <c r="H39" s="12" t="n">
        <f aca="false">H38*(1-Допущения!$C$12)</f>
        <v>2294.14289851281</v>
      </c>
      <c r="I39" s="12" t="n">
        <f aca="false">I38*(1-Допущения!$C$12)</f>
        <v>2836.80200708638</v>
      </c>
      <c r="J39" s="12" t="n">
        <f aca="false">J38*(1-Допущения!$C$12)</f>
        <v>1952.28671801076</v>
      </c>
      <c r="K39" s="12" t="n">
        <f aca="false">K38*(1-Допущения!$C$12)</f>
        <v>2418.24804266282</v>
      </c>
      <c r="L39" s="12" t="n">
        <f aca="false">L38*(1-Допущения!$C$12)</f>
        <v>2922.42986749221</v>
      </c>
      <c r="M39" s="12" t="n">
        <f aca="false">M38*(1-Допущения!$C$12)</f>
        <v>3147.32052345506</v>
      </c>
      <c r="N39" s="12" t="n">
        <f aca="false">N38*(1-Допущения!$C$12)</f>
        <v>3362.09109989958</v>
      </c>
      <c r="O39" s="12" t="n">
        <f aca="false">O38*(1-Допущения!$C$12)</f>
        <v>3043.83760032328</v>
      </c>
      <c r="P39" s="12" t="n">
        <f aca="false">P38*(1-Допущения!$C$12)</f>
        <v>2536.54868123155</v>
      </c>
      <c r="Q39" s="12" t="n">
        <f aca="false">Q38*(1-Допущения!$C$12)</f>
        <v>2778.80399057613</v>
      </c>
      <c r="R39" s="12" t="n">
        <f aca="false">R38*(1-Допущения!$C$12)</f>
        <v>5016.92968500034</v>
      </c>
      <c r="S39" s="12" t="n">
        <f aca="false">S38*(1-Допущения!$C$12)</f>
        <v>5923.68463409286</v>
      </c>
      <c r="T39" s="12" t="n">
        <f aca="false">T38*(1-Допущения!$C$12)</f>
        <v>6884.20235515492</v>
      </c>
      <c r="U39" s="12" t="n">
        <f aca="false">U38*(1-Допущения!$C$12)</f>
        <v>7894.48101993737</v>
      </c>
      <c r="V39" s="12" t="n">
        <f aca="false">V38*(1-Допущения!$C$12)</f>
        <v>5114.72576864011</v>
      </c>
      <c r="W39" s="12" t="n">
        <f aca="false">W38*(1-Допущения!$C$12)</f>
        <v>6029.73349768272</v>
      </c>
      <c r="X39" s="12" t="n">
        <f aca="false">X38*(1-Допущения!$C$12)</f>
        <v>6992.21721143</v>
      </c>
      <c r="Y39" s="12" t="n">
        <f aca="false">Y38*(1-Допущения!$C$12)</f>
        <v>7271.56743691565</v>
      </c>
      <c r="Z39" s="12" t="n">
        <f aca="false">Z38*(1-Допущения!$C$12)</f>
        <v>7538.34690225445</v>
      </c>
      <c r="AA39" s="12" t="n">
        <f aca="false">AA38*(1-Допущения!$C$12)</f>
        <v>6424.5770333224</v>
      </c>
      <c r="AB39" s="12" t="n">
        <f aca="false">AB38*(1-Допущения!$C$12)</f>
        <v>5100.56330011717</v>
      </c>
      <c r="AC39" s="12" t="n">
        <f aca="false">AC38*(1-Допущения!$C$12)</f>
        <v>5369.99795161189</v>
      </c>
      <c r="AD39" s="12" t="n">
        <f aca="false">AD38*(1-Допущения!$C$12)</f>
        <v>9378.84673964893</v>
      </c>
      <c r="AE39" s="12" t="n">
        <f aca="false">AE38*(1-Допущения!$C$12)</f>
        <v>10767.2385000012</v>
      </c>
      <c r="AF39" s="12" t="n">
        <f aca="false">AF38*(1-Допущения!$C$12)</f>
        <v>12215.424837274</v>
      </c>
      <c r="AG39" s="12" t="n">
        <f aca="false">AG38*(1-Допущения!$C$12)</f>
        <v>13718.9549462297</v>
      </c>
      <c r="AH39" s="12" t="n">
        <f aca="false">AH38*(1-Допущения!$C$12)</f>
        <v>8727.80429147653</v>
      </c>
      <c r="AI39" s="12" t="n">
        <f aca="false">AI38*(1-Допущения!$C$12)</f>
        <v>10125.3747356551</v>
      </c>
      <c r="AJ39" s="12" t="n">
        <f aca="false">AJ38*(1-Допущения!$C$12)</f>
        <v>11575.7476361674</v>
      </c>
      <c r="AK39" s="12" t="n">
        <f aca="false">AK38*(1-Допущения!$C$12)</f>
        <v>11886.4389925398</v>
      </c>
      <c r="AL39" s="12" t="n">
        <f aca="false">AL38*(1-Допущения!$C$12)</f>
        <v>12183.1492378755</v>
      </c>
    </row>
    <row r="40" customFormat="false" ht="15" hidden="false" customHeight="false" outlineLevel="0" collapsed="false">
      <c r="A40" s="6" t="s">
        <v>139</v>
      </c>
      <c r="B40" s="3" t="s">
        <v>70</v>
      </c>
      <c r="C40" s="12" t="n">
        <f aca="false">C39*Допущения!$D$22</f>
        <v>1710720</v>
      </c>
      <c r="D40" s="12" t="n">
        <f aca="false">D39*Допущения!$D$22</f>
        <v>2508343.2</v>
      </c>
      <c r="E40" s="12" t="n">
        <f aca="false">E39*Допущения!$D$22</f>
        <v>3678507.756</v>
      </c>
      <c r="F40" s="12" t="n">
        <f aca="false">F39*Допущения!$D$22</f>
        <v>7993358.1783</v>
      </c>
      <c r="G40" s="12" t="n">
        <f aca="false">G39*Допущения!$D$22</f>
        <v>10749262.7663042</v>
      </c>
      <c r="H40" s="12" t="n">
        <f aca="false">H39*Допущения!$D$22</f>
        <v>13764857.3910769</v>
      </c>
      <c r="I40" s="12" t="n">
        <f aca="false">I39*Допущения!$D$22</f>
        <v>17020812.0425183</v>
      </c>
      <c r="J40" s="12" t="n">
        <f aca="false">J39*Допущения!$D$22</f>
        <v>11713720.3080646</v>
      </c>
      <c r="K40" s="12" t="n">
        <f aca="false">K39*Допущения!$D$22</f>
        <v>14509488.2559769</v>
      </c>
      <c r="L40" s="12" t="n">
        <f aca="false">L39*Допущения!$D$22</f>
        <v>17534579.2049533</v>
      </c>
      <c r="M40" s="12" t="n">
        <f aca="false">M39*Допущения!$D$22</f>
        <v>18883923.1407304</v>
      </c>
      <c r="N40" s="12" t="n">
        <f aca="false">N39*Допущения!$D$22</f>
        <v>20172546.5993975</v>
      </c>
      <c r="O40" s="12" t="n">
        <f aca="false">O39*Допущения!$D$22</f>
        <v>18263025.6019397</v>
      </c>
      <c r="P40" s="12" t="n">
        <f aca="false">P39*Допущения!$D$22</f>
        <v>15219292.0873893</v>
      </c>
      <c r="Q40" s="12" t="n">
        <f aca="false">Q39*Допущения!$D$22</f>
        <v>16672823.9434568</v>
      </c>
      <c r="R40" s="12" t="n">
        <f aca="false">R39*Допущения!$D$22</f>
        <v>30101578.1100021</v>
      </c>
      <c r="S40" s="12" t="n">
        <f aca="false">S39*Допущения!$D$22</f>
        <v>35542107.8045571</v>
      </c>
      <c r="T40" s="12" t="n">
        <f aca="false">T39*Допущения!$D$22</f>
        <v>41305214.1309295</v>
      </c>
      <c r="U40" s="12" t="n">
        <f aca="false">U39*Допущения!$D$22</f>
        <v>47366886.1196242</v>
      </c>
      <c r="V40" s="12" t="n">
        <f aca="false">V39*Допущения!$D$22</f>
        <v>30688354.6118407</v>
      </c>
      <c r="W40" s="12" t="n">
        <f aca="false">W39*Допущения!$D$22</f>
        <v>36178400.9860963</v>
      </c>
      <c r="X40" s="12" t="n">
        <f aca="false">X39*Допущения!$D$22</f>
        <v>41953303.26858</v>
      </c>
      <c r="Y40" s="12" t="n">
        <f aca="false">Y39*Допущения!$D$22</f>
        <v>43629404.6214939</v>
      </c>
      <c r="Z40" s="12" t="n">
        <f aca="false">Z39*Допущения!$D$22</f>
        <v>45230081.4135267</v>
      </c>
      <c r="AA40" s="12" t="n">
        <f aca="false">AA39*Допущения!$D$22</f>
        <v>38547462.1999344</v>
      </c>
      <c r="AB40" s="12" t="n">
        <f aca="false">AB39*Допущения!$D$22</f>
        <v>30603379.800703</v>
      </c>
      <c r="AC40" s="12" t="n">
        <f aca="false">AC39*Допущения!$D$22</f>
        <v>32219987.7096714</v>
      </c>
      <c r="AD40" s="12" t="n">
        <f aca="false">AD39*Допущения!$D$22</f>
        <v>56273080.4378936</v>
      </c>
      <c r="AE40" s="12" t="n">
        <f aca="false">AE39*Допущения!$D$22</f>
        <v>64603431.0000072</v>
      </c>
      <c r="AF40" s="12" t="n">
        <f aca="false">AF39*Допущения!$D$22</f>
        <v>73292549.0236439</v>
      </c>
      <c r="AG40" s="12" t="n">
        <f aca="false">AG39*Допущения!$D$22</f>
        <v>82313729.6773782</v>
      </c>
      <c r="AH40" s="12" t="n">
        <f aca="false">AH39*Допущения!$D$22</f>
        <v>52366825.7488592</v>
      </c>
      <c r="AI40" s="12" t="n">
        <f aca="false">AI39*Допущения!$D$22</f>
        <v>60752248.4139306</v>
      </c>
      <c r="AJ40" s="12" t="n">
        <f aca="false">AJ39*Допущения!$D$22</f>
        <v>69454485.8170041</v>
      </c>
      <c r="AK40" s="12" t="n">
        <f aca="false">AK39*Допущения!$D$22</f>
        <v>71318633.9552389</v>
      </c>
      <c r="AL40" s="12" t="n">
        <f aca="false">AL39*Допущения!$D$22</f>
        <v>73098895.4272532</v>
      </c>
    </row>
    <row r="41" customFormat="false" ht="15" hidden="false" customHeight="false" outlineLevel="0" collapsed="false">
      <c r="A41" s="6" t="s">
        <v>140</v>
      </c>
      <c r="B41" s="3" t="s">
        <v>70</v>
      </c>
      <c r="C41" s="12" t="n">
        <f aca="false">C40*(Допущения!$C$6+Допущения!$C$7)*(1-Допущения!$C$13)</f>
        <v>82969.92</v>
      </c>
      <c r="D41" s="12" t="n">
        <f aca="false">D40*(Допущения!$C$6+Допущения!$C$7)*(1-Допущения!$C$13)</f>
        <v>121654.6452</v>
      </c>
      <c r="E41" s="12" t="n">
        <f aca="false">E40*(Допущения!$C$6+Допущения!$C$7)*(1-Допущения!$C$13)</f>
        <v>178407.626166</v>
      </c>
      <c r="F41" s="12" t="n">
        <f aca="false">F40*(Допущения!$C$6+Допущения!$C$7)*(1-Допущения!$C$13)</f>
        <v>387677.87164755</v>
      </c>
      <c r="G41" s="12" t="n">
        <f aca="false">G40*(Допущения!$C$6+Допущения!$C$7)*(1-Допущения!$C$13)</f>
        <v>521339.244165751</v>
      </c>
      <c r="H41" s="12" t="n">
        <f aca="false">H40*(Допущения!$C$6+Допущения!$C$7)*(1-Допущения!$C$13)</f>
        <v>667595.583467228</v>
      </c>
      <c r="I41" s="12" t="n">
        <f aca="false">I40*(Допущения!$C$6+Допущения!$C$7)*(1-Допущения!$C$13)</f>
        <v>825509.384062136</v>
      </c>
      <c r="J41" s="12" t="n">
        <f aca="false">J40*(Допущения!$C$6+Допущения!$C$7)*(1-Допущения!$C$13)</f>
        <v>568115.434941133</v>
      </c>
      <c r="K41" s="12" t="n">
        <f aca="false">K40*(Допущения!$C$6+Допущения!$C$7)*(1-Допущения!$C$13)</f>
        <v>703710.180414879</v>
      </c>
      <c r="L41" s="12" t="n">
        <f aca="false">L40*(Допущения!$C$6+Допущения!$C$7)*(1-Допущения!$C$13)</f>
        <v>850427.091440233</v>
      </c>
      <c r="M41" s="12" t="n">
        <f aca="false">M40*(Допущения!$C$6+Допущения!$C$7)*(1-Допущения!$C$13)</f>
        <v>915870.272325422</v>
      </c>
      <c r="N41" s="12" t="n">
        <f aca="false">N40*(Допущения!$C$6+Допущения!$C$7)*(1-Допущения!$C$13)</f>
        <v>978368.510070779</v>
      </c>
      <c r="O41" s="12" t="n">
        <f aca="false">O40*(Допущения!$C$6+Допущения!$C$7)*(1-Допущения!$C$13)</f>
        <v>885756.741694075</v>
      </c>
      <c r="P41" s="12" t="n">
        <f aca="false">P40*(Допущения!$C$6+Допущения!$C$7)*(1-Допущения!$C$13)</f>
        <v>738135.666238381</v>
      </c>
      <c r="Q41" s="12" t="n">
        <f aca="false">Q40*(Допущения!$C$6+Допущения!$C$7)*(1-Допущения!$C$13)</f>
        <v>808631.961257654</v>
      </c>
      <c r="R41" s="12" t="n">
        <f aca="false">R40*(Допущения!$C$6+Допущения!$C$7)*(1-Допущения!$C$13)</f>
        <v>1459926.5383351</v>
      </c>
      <c r="S41" s="12" t="n">
        <f aca="false">S40*(Допущения!$C$6+Допущения!$C$7)*(1-Допущения!$C$13)</f>
        <v>1723792.22852102</v>
      </c>
      <c r="T41" s="12" t="n">
        <f aca="false">T40*(Допущения!$C$6+Допущения!$C$7)*(1-Допущения!$C$13)</f>
        <v>2003302.88535008</v>
      </c>
      <c r="U41" s="12" t="n">
        <f aca="false">U40*(Допущения!$C$6+Допущения!$C$7)*(1-Допущения!$C$13)</f>
        <v>2297293.97680177</v>
      </c>
      <c r="V41" s="12" t="n">
        <f aca="false">V40*(Допущения!$C$6+Допущения!$C$7)*(1-Допущения!$C$13)</f>
        <v>1488385.19867427</v>
      </c>
      <c r="W41" s="12" t="n">
        <f aca="false">W40*(Допущения!$C$6+Допущения!$C$7)*(1-Допущения!$C$13)</f>
        <v>1754652.44782567</v>
      </c>
      <c r="X41" s="12" t="n">
        <f aca="false">X40*(Допущения!$C$6+Допущения!$C$7)*(1-Допущения!$C$13)</f>
        <v>2034735.20852613</v>
      </c>
      <c r="Y41" s="12" t="n">
        <f aca="false">Y40*(Допущения!$C$6+Допущения!$C$7)*(1-Допущения!$C$13)</f>
        <v>2116026.12414245</v>
      </c>
      <c r="Z41" s="12" t="n">
        <f aca="false">Z40*(Допущения!$C$6+Допущения!$C$7)*(1-Допущения!$C$13)</f>
        <v>2193658.94855604</v>
      </c>
      <c r="AA41" s="12" t="n">
        <f aca="false">AA40*(Допущения!$C$6+Допущения!$C$7)*(1-Допущения!$C$13)</f>
        <v>1869551.91669682</v>
      </c>
      <c r="AB41" s="12" t="n">
        <f aca="false">AB40*(Допущения!$C$6+Допущения!$C$7)*(1-Допущения!$C$13)</f>
        <v>1484263.9203341</v>
      </c>
      <c r="AC41" s="12" t="n">
        <f aca="false">AC40*(Допущения!$C$6+Допущения!$C$7)*(1-Допущения!$C$13)</f>
        <v>1562669.40391906</v>
      </c>
      <c r="AD41" s="12" t="n">
        <f aca="false">AD40*(Допущения!$C$6+Допущения!$C$7)*(1-Допущения!$C$13)</f>
        <v>2729244.40123784</v>
      </c>
      <c r="AE41" s="12" t="n">
        <f aca="false">AE40*(Допущения!$C$6+Допущения!$C$7)*(1-Допущения!$C$13)</f>
        <v>3133266.40350035</v>
      </c>
      <c r="AF41" s="12" t="n">
        <f aca="false">AF40*(Допущения!$C$6+Допущения!$C$7)*(1-Допущения!$C$13)</f>
        <v>3554688.62764673</v>
      </c>
      <c r="AG41" s="12" t="n">
        <f aca="false">AG40*(Допущения!$C$6+Допущения!$C$7)*(1-Допущения!$C$13)</f>
        <v>3992215.88935284</v>
      </c>
      <c r="AH41" s="12" t="n">
        <f aca="false">AH40*(Допущения!$C$6+Допущения!$C$7)*(1-Допущения!$C$13)</f>
        <v>2539791.04881967</v>
      </c>
      <c r="AI41" s="12" t="n">
        <f aca="false">AI40*(Допущения!$C$6+Допущения!$C$7)*(1-Допущения!$C$13)</f>
        <v>2946484.04807563</v>
      </c>
      <c r="AJ41" s="12" t="n">
        <f aca="false">AJ40*(Допущения!$C$6+Допущения!$C$7)*(1-Допущения!$C$13)</f>
        <v>3368542.5621247</v>
      </c>
      <c r="AK41" s="12" t="n">
        <f aca="false">AK40*(Допущения!$C$6+Допущения!$C$7)*(1-Допущения!$C$13)</f>
        <v>3458953.74682909</v>
      </c>
      <c r="AL41" s="12" t="n">
        <f aca="false">AL40*(Допущения!$C$6+Допущения!$C$7)*(1-Допущения!$C$13)</f>
        <v>3545296.42822178</v>
      </c>
    </row>
    <row r="42" customFormat="false" ht="15" hidden="false" customHeight="false" outlineLevel="0" collapsed="false">
      <c r="A42" s="6" t="s">
        <v>141</v>
      </c>
      <c r="B42" s="3" t="s">
        <v>70</v>
      </c>
      <c r="C42" s="12" t="n">
        <f aca="false">C40*(1+Допущения!$C$6)*Допущения!$D$23</f>
        <v>35925.12</v>
      </c>
      <c r="D42" s="12" t="n">
        <f aca="false">D40*(1+Допущения!$C$6)*Допущения!$D$23</f>
        <v>52675.2072</v>
      </c>
      <c r="E42" s="12" t="n">
        <f aca="false">E40*(1+Допущения!$C$6)*Допущения!$D$23</f>
        <v>77248.662876</v>
      </c>
      <c r="F42" s="12" t="n">
        <f aca="false">F40*(1+Допущения!$C$6)*Допущения!$D$23</f>
        <v>167860.5217443</v>
      </c>
      <c r="G42" s="12" t="n">
        <f aca="false">G40*(1+Допущения!$C$6)*Допущения!$D$23</f>
        <v>225734.518092387</v>
      </c>
      <c r="H42" s="12" t="n">
        <f aca="false">H40*(1+Допущения!$C$6)*Допущения!$D$23</f>
        <v>289062.005212614</v>
      </c>
      <c r="I42" s="12" t="n">
        <f aca="false">I40*(1+Допущения!$C$6)*Допущения!$D$23</f>
        <v>357437.052892884</v>
      </c>
      <c r="J42" s="12" t="n">
        <f aca="false">J40*(1+Допущения!$C$6)*Допущения!$D$23</f>
        <v>245988.126469356</v>
      </c>
      <c r="K42" s="12" t="n">
        <f aca="false">K40*(1+Допущения!$C$6)*Допущения!$D$23</f>
        <v>304699.253375515</v>
      </c>
      <c r="L42" s="12" t="n">
        <f aca="false">L40*(1+Допущения!$C$6)*Допущения!$D$23</f>
        <v>368226.163304018</v>
      </c>
      <c r="M42" s="12" t="n">
        <f aca="false">M40*(1+Допущения!$C$6)*Допущения!$D$23</f>
        <v>396562.385955338</v>
      </c>
      <c r="N42" s="12" t="n">
        <f aca="false">N40*(1+Допущения!$C$6)*Допущения!$D$23</f>
        <v>423623.478587347</v>
      </c>
      <c r="O42" s="12" t="n">
        <f aca="false">O40*(1+Допущения!$C$6)*Допущения!$D$23</f>
        <v>383523.537640733</v>
      </c>
      <c r="P42" s="12" t="n">
        <f aca="false">P40*(1+Допущения!$C$6)*Допущения!$D$23</f>
        <v>319605.133835175</v>
      </c>
      <c r="Q42" s="12" t="n">
        <f aca="false">Q40*(1+Допущения!$C$6)*Допущения!$D$23</f>
        <v>350129.302812593</v>
      </c>
      <c r="R42" s="12" t="n">
        <f aca="false">R40*(1+Допущения!$C$6)*Допущения!$D$23</f>
        <v>632133.140310043</v>
      </c>
      <c r="S42" s="12" t="n">
        <f aca="false">S40*(1+Допущения!$C$6)*Допущения!$D$23</f>
        <v>746384.2638957</v>
      </c>
      <c r="T42" s="12" t="n">
        <f aca="false">T40*(1+Допущения!$C$6)*Допущения!$D$23</f>
        <v>867409.49674952</v>
      </c>
      <c r="U42" s="12" t="n">
        <f aca="false">U40*(1+Допущения!$C$6)*Допущения!$D$23</f>
        <v>994704.608512108</v>
      </c>
      <c r="V42" s="12" t="n">
        <f aca="false">V40*(1+Допущения!$C$6)*Допущения!$D$23</f>
        <v>644455.446848654</v>
      </c>
      <c r="W42" s="12" t="n">
        <f aca="false">W40*(1+Допущения!$C$6)*Допущения!$D$23</f>
        <v>759746.420708023</v>
      </c>
      <c r="X42" s="12" t="n">
        <f aca="false">X40*(1+Допущения!$C$6)*Допущения!$D$23</f>
        <v>881019.36864018</v>
      </c>
      <c r="Y42" s="12" t="n">
        <f aca="false">Y40*(1+Допущения!$C$6)*Допущения!$D$23</f>
        <v>916217.497051372</v>
      </c>
      <c r="Z42" s="12" t="n">
        <f aca="false">Z40*(1+Допущения!$C$6)*Допущения!$D$23</f>
        <v>949831.70968406</v>
      </c>
      <c r="AA42" s="12" t="n">
        <f aca="false">AA40*(1+Допущения!$C$6)*Допущения!$D$23</f>
        <v>809496.706198622</v>
      </c>
      <c r="AB42" s="12" t="n">
        <f aca="false">AB40*(1+Допущения!$C$6)*Допущения!$D$23</f>
        <v>642670.975814763</v>
      </c>
      <c r="AC42" s="12" t="n">
        <f aca="false">AC40*(1+Допущения!$C$6)*Допущения!$D$23</f>
        <v>676619.741903099</v>
      </c>
      <c r="AD42" s="12" t="n">
        <f aca="false">AD40*(1+Допущения!$C$6)*Допущения!$D$23</f>
        <v>1181734.68919577</v>
      </c>
      <c r="AE42" s="12" t="n">
        <f aca="false">AE40*(1+Допущения!$C$6)*Допущения!$D$23</f>
        <v>1356672.05100015</v>
      </c>
      <c r="AF42" s="12" t="n">
        <f aca="false">AF40*(1+Допущения!$C$6)*Допущения!$D$23</f>
        <v>1539143.52949652</v>
      </c>
      <c r="AG42" s="12" t="n">
        <f aca="false">AG40*(1+Допущения!$C$6)*Допущения!$D$23</f>
        <v>1728588.32322494</v>
      </c>
      <c r="AH42" s="12" t="n">
        <f aca="false">AH40*(1+Допущения!$C$6)*Допущения!$D$23</f>
        <v>1099703.34072604</v>
      </c>
      <c r="AI42" s="12" t="n">
        <f aca="false">AI40*(1+Допущения!$C$6)*Допущения!$D$23</f>
        <v>1275797.21669254</v>
      </c>
      <c r="AJ42" s="12" t="n">
        <f aca="false">AJ40*(1+Допущения!$C$6)*Допущения!$D$23</f>
        <v>1458544.20215709</v>
      </c>
      <c r="AK42" s="12" t="n">
        <f aca="false">AK40*(1+Допущения!$C$6)*Допущения!$D$23</f>
        <v>1497691.31306002</v>
      </c>
      <c r="AL42" s="12" t="n">
        <f aca="false">AL40*(1+Допущения!$C$6)*Допущения!$D$23</f>
        <v>1535076.80397232</v>
      </c>
    </row>
    <row r="43" customFormat="false" ht="15" hidden="false" customHeight="false" outlineLevel="0" collapsed="false">
      <c r="A43" s="6" t="s">
        <v>142</v>
      </c>
      <c r="B43" s="3" t="s">
        <v>70</v>
      </c>
      <c r="C43" s="12" t="n">
        <f aca="false">C38/Допущения!$C$9*Допущения!$C$10+C38*Допущения!$C$11</f>
        <v>4752</v>
      </c>
      <c r="D43" s="12" t="n">
        <f aca="false">D38/Допущения!$C$9*Допущения!$C$10+D38*Допущения!$C$11</f>
        <v>6967.62</v>
      </c>
      <c r="E43" s="12" t="n">
        <f aca="false">E38/Допущения!$C$9*Допущения!$C$10+E38*Допущения!$C$11</f>
        <v>10218.0771</v>
      </c>
      <c r="F43" s="12" t="n">
        <f aca="false">F38/Допущения!$C$9*Допущения!$C$10+F38*Допущения!$C$11</f>
        <v>22203.7727175</v>
      </c>
      <c r="G43" s="12" t="n">
        <f aca="false">G38/Допущения!$C$9*Допущения!$C$10+G38*Допущения!$C$11</f>
        <v>29859.0632397338</v>
      </c>
      <c r="H43" s="12" t="n">
        <f aca="false">H38/Допущения!$C$9*Допущения!$C$10+H38*Допущения!$C$11</f>
        <v>38235.7149752135</v>
      </c>
      <c r="I43" s="12" t="n">
        <f aca="false">I38/Допущения!$C$9*Допущения!$C$10+I38*Допущения!$C$11</f>
        <v>47280.0334514397</v>
      </c>
      <c r="J43" s="12" t="n">
        <f aca="false">J38/Допущения!$C$9*Допущения!$C$10+J38*Допущения!$C$11</f>
        <v>32538.1119668461</v>
      </c>
      <c r="K43" s="12" t="n">
        <f aca="false">K38/Допущения!$C$9*Допущения!$C$10+K38*Допущения!$C$11</f>
        <v>40304.1340443803</v>
      </c>
      <c r="L43" s="12" t="n">
        <f aca="false">L38/Допущения!$C$9*Допущения!$C$10+L38*Допущения!$C$11</f>
        <v>48707.1644582035</v>
      </c>
      <c r="M43" s="12" t="n">
        <f aca="false">M38/Допущения!$C$9*Допущения!$C$10+M38*Допущения!$C$11</f>
        <v>52455.3420575843</v>
      </c>
      <c r="N43" s="12" t="n">
        <f aca="false">N38/Допущения!$C$9*Допущения!$C$10+N38*Допущения!$C$11</f>
        <v>56034.851664993</v>
      </c>
      <c r="O43" s="12" t="n">
        <f aca="false">O38/Допущения!$C$9*Допущения!$C$10+O38*Допущения!$C$11</f>
        <v>50730.6266720547</v>
      </c>
      <c r="P43" s="12" t="n">
        <f aca="false">P38/Допущения!$C$9*Допущения!$C$10+P38*Допущения!$C$11</f>
        <v>42275.8113538592</v>
      </c>
      <c r="Q43" s="12" t="n">
        <f aca="false">Q38/Допущения!$C$9*Допущения!$C$10+Q38*Допущения!$C$11</f>
        <v>46313.3998429355</v>
      </c>
      <c r="R43" s="12" t="n">
        <f aca="false">R38/Допущения!$C$9*Допущения!$C$10+R38*Допущения!$C$11</f>
        <v>83615.4947500057</v>
      </c>
      <c r="S43" s="12" t="n">
        <f aca="false">S38/Допущения!$C$9*Допущения!$C$10+S38*Допущения!$C$11</f>
        <v>98728.077234881</v>
      </c>
      <c r="T43" s="12" t="n">
        <f aca="false">T38/Допущения!$C$9*Допущения!$C$10+T38*Допущения!$C$11</f>
        <v>114736.705919249</v>
      </c>
      <c r="U43" s="12" t="n">
        <f aca="false">U38/Допущения!$C$9*Допущения!$C$10+U38*Допущения!$C$11</f>
        <v>131574.683665623</v>
      </c>
      <c r="V43" s="12" t="n">
        <f aca="false">V38/Допущения!$C$9*Допущения!$C$10+V38*Допущения!$C$11</f>
        <v>85245.4294773352</v>
      </c>
      <c r="W43" s="12" t="n">
        <f aca="false">W38/Допущения!$C$9*Допущения!$C$10+W38*Допущения!$C$11</f>
        <v>100495.558294712</v>
      </c>
      <c r="X43" s="12" t="n">
        <f aca="false">X38/Допущения!$C$9*Допущения!$C$10+X38*Допущения!$C$11</f>
        <v>116536.953523833</v>
      </c>
      <c r="Y43" s="12" t="n">
        <f aca="false">Y38/Допущения!$C$9*Допущения!$C$10+Y38*Допущения!$C$11</f>
        <v>121192.790615261</v>
      </c>
      <c r="Z43" s="12" t="n">
        <f aca="false">Z38/Допущения!$C$9*Допущения!$C$10+Z38*Допущения!$C$11</f>
        <v>125639.115037574</v>
      </c>
      <c r="AA43" s="12" t="n">
        <f aca="false">AA38/Допущения!$C$9*Допущения!$C$10+AA38*Допущения!$C$11</f>
        <v>107076.283888707</v>
      </c>
      <c r="AB43" s="12" t="n">
        <f aca="false">AB38/Допущения!$C$9*Допущения!$C$10+AB38*Допущения!$C$11</f>
        <v>85009.3883352861</v>
      </c>
      <c r="AC43" s="12" t="n">
        <f aca="false">AC38/Допущения!$C$9*Допущения!$C$10+AC38*Допущения!$C$11</f>
        <v>89499.9658601982</v>
      </c>
      <c r="AD43" s="12" t="n">
        <f aca="false">AD38/Допущения!$C$9*Допущения!$C$10+AD38*Допущения!$C$11</f>
        <v>156314.112327482</v>
      </c>
      <c r="AE43" s="12" t="n">
        <f aca="false">AE38/Допущения!$C$9*Допущения!$C$10+AE38*Допущения!$C$11</f>
        <v>179453.97500002</v>
      </c>
      <c r="AF43" s="12" t="n">
        <f aca="false">AF38/Допущения!$C$9*Допущения!$C$10+AF38*Допущения!$C$11</f>
        <v>203590.413954566</v>
      </c>
      <c r="AG43" s="12" t="n">
        <f aca="false">AG38/Допущения!$C$9*Допущения!$C$10+AG38*Допущения!$C$11</f>
        <v>228649.249103828</v>
      </c>
      <c r="AH43" s="12" t="n">
        <f aca="false">AH38/Допущения!$C$9*Допущения!$C$10+AH38*Допущения!$C$11</f>
        <v>145463.404857942</v>
      </c>
      <c r="AI43" s="12" t="n">
        <f aca="false">AI38/Допущения!$C$9*Допущения!$C$10+AI38*Допущения!$C$11</f>
        <v>168756.245594252</v>
      </c>
      <c r="AJ43" s="12" t="n">
        <f aca="false">AJ38/Допущения!$C$9*Допущения!$C$10+AJ38*Допущения!$C$11</f>
        <v>192929.127269456</v>
      </c>
      <c r="AK43" s="12" t="n">
        <f aca="false">AK38/Допущения!$C$9*Допущения!$C$10+AK38*Допущения!$C$11</f>
        <v>198107.31654233</v>
      </c>
      <c r="AL43" s="12" t="n">
        <f aca="false">AL38/Допущения!$C$9*Допущения!$C$10+AL38*Допущения!$C$11</f>
        <v>203052.487297926</v>
      </c>
    </row>
    <row r="44" customFormat="false" ht="15" hidden="false" customHeight="false" outlineLevel="0" collapsed="false">
      <c r="A44" s="6" t="s">
        <v>143</v>
      </c>
      <c r="B44" s="3" t="s">
        <v>70</v>
      </c>
      <c r="C44" s="12" t="n">
        <f aca="false">C41*Допущения!$C$8</f>
        <v>3318.7968</v>
      </c>
      <c r="D44" s="12" t="n">
        <f aca="false">D41*Допущения!$C$8</f>
        <v>4866.185808</v>
      </c>
      <c r="E44" s="12" t="n">
        <f aca="false">E41*Допущения!$C$8</f>
        <v>7136.30504664</v>
      </c>
      <c r="F44" s="12" t="n">
        <f aca="false">F41*Допущения!$C$8</f>
        <v>15507.114865902</v>
      </c>
      <c r="G44" s="12" t="n">
        <f aca="false">G41*Допущения!$C$8</f>
        <v>20853.5697666301</v>
      </c>
      <c r="H44" s="12" t="n">
        <f aca="false">H41*Допущения!$C$8</f>
        <v>26703.8233386891</v>
      </c>
      <c r="I44" s="12" t="n">
        <f aca="false">I41*Допущения!$C$8</f>
        <v>33020.3753624855</v>
      </c>
      <c r="J44" s="12" t="n">
        <f aca="false">J41*Допущения!$C$8</f>
        <v>22724.6173976453</v>
      </c>
      <c r="K44" s="12" t="n">
        <f aca="false">K41*Допущения!$C$8</f>
        <v>28148.4072165952</v>
      </c>
      <c r="L44" s="12" t="n">
        <f aca="false">L41*Допущения!$C$8</f>
        <v>34017.0836576093</v>
      </c>
      <c r="M44" s="12" t="n">
        <f aca="false">M41*Допущения!$C$8</f>
        <v>36634.8108930169</v>
      </c>
      <c r="N44" s="12" t="n">
        <f aca="false">N41*Допущения!$C$8</f>
        <v>39134.7404028311</v>
      </c>
      <c r="O44" s="12" t="n">
        <f aca="false">O41*Допущения!$C$8</f>
        <v>35430.269667763</v>
      </c>
      <c r="P44" s="12" t="n">
        <f aca="false">P41*Допущения!$C$8</f>
        <v>29525.4266495352</v>
      </c>
      <c r="Q44" s="12" t="n">
        <f aca="false">Q41*Допущения!$C$8</f>
        <v>32345.2784503062</v>
      </c>
      <c r="R44" s="12" t="n">
        <f aca="false">R41*Допущения!$C$8</f>
        <v>58397.061533404</v>
      </c>
      <c r="S44" s="12" t="n">
        <f aca="false">S41*Допущения!$C$8</f>
        <v>68951.6891408409</v>
      </c>
      <c r="T44" s="12" t="n">
        <f aca="false">T41*Допущения!$C$8</f>
        <v>80132.1154140033</v>
      </c>
      <c r="U44" s="12" t="n">
        <f aca="false">U41*Допущения!$C$8</f>
        <v>91891.7590720709</v>
      </c>
      <c r="V44" s="12" t="n">
        <f aca="false">V41*Допущения!$C$8</f>
        <v>59535.4079469709</v>
      </c>
      <c r="W44" s="12" t="n">
        <f aca="false">W41*Допущения!$C$8</f>
        <v>70186.0979130269</v>
      </c>
      <c r="X44" s="12" t="n">
        <f aca="false">X41*Допущения!$C$8</f>
        <v>81389.4083410452</v>
      </c>
      <c r="Y44" s="12" t="n">
        <f aca="false">Y41*Допущения!$C$8</f>
        <v>84641.0449656981</v>
      </c>
      <c r="Z44" s="12" t="n">
        <f aca="false">Z41*Допущения!$C$8</f>
        <v>87746.3579422418</v>
      </c>
      <c r="AA44" s="12" t="n">
        <f aca="false">AA41*Допущения!$C$8</f>
        <v>74782.0766678727</v>
      </c>
      <c r="AB44" s="12" t="n">
        <f aca="false">AB41*Допущения!$C$8</f>
        <v>59370.5568133638</v>
      </c>
      <c r="AC44" s="12" t="n">
        <f aca="false">AC41*Допущения!$C$8</f>
        <v>62506.7761567624</v>
      </c>
      <c r="AD44" s="12" t="n">
        <f aca="false">AD41*Допущения!$C$8</f>
        <v>109169.776049514</v>
      </c>
      <c r="AE44" s="12" t="n">
        <f aca="false">AE41*Допущения!$C$8</f>
        <v>125330.656140014</v>
      </c>
      <c r="AF44" s="12" t="n">
        <f aca="false">AF41*Допущения!$C$8</f>
        <v>142187.545105869</v>
      </c>
      <c r="AG44" s="12" t="n">
        <f aca="false">AG41*Допущения!$C$8</f>
        <v>159688.635574114</v>
      </c>
      <c r="AH44" s="12" t="n">
        <f aca="false">AH41*Допущения!$C$8</f>
        <v>101591.641952787</v>
      </c>
      <c r="AI44" s="12" t="n">
        <f aca="false">AI41*Допущения!$C$8</f>
        <v>117859.361923025</v>
      </c>
      <c r="AJ44" s="12" t="n">
        <f aca="false">AJ41*Допущения!$C$8</f>
        <v>134741.702484988</v>
      </c>
      <c r="AK44" s="12" t="n">
        <f aca="false">AK41*Допущения!$C$8</f>
        <v>138358.149873164</v>
      </c>
      <c r="AL44" s="12" t="n">
        <f aca="false">AL41*Допущения!$C$8</f>
        <v>141811.857128871</v>
      </c>
    </row>
    <row r="45" customFormat="false" ht="15" hidden="false" customHeight="false" outlineLevel="0" collapsed="false">
      <c r="A45" s="31" t="s">
        <v>144</v>
      </c>
      <c r="B45" s="32" t="s">
        <v>70</v>
      </c>
      <c r="C45" s="33" t="n">
        <f aca="false">C41-C42-C43-C44</f>
        <v>38974.0032</v>
      </c>
      <c r="D45" s="33" t="n">
        <f aca="false">D41-D42-D43-D44</f>
        <v>57145.632192</v>
      </c>
      <c r="E45" s="33" t="n">
        <f aca="false">E41-E42-E43-E44</f>
        <v>83804.58114336</v>
      </c>
      <c r="F45" s="33" t="n">
        <f aca="false">F41-F42-F43-F44</f>
        <v>182106.462319848</v>
      </c>
      <c r="G45" s="33" t="n">
        <f aca="false">G41-G42-G43-G44</f>
        <v>244892.093067</v>
      </c>
      <c r="H45" s="33" t="n">
        <f aca="false">H41-H42-H43-H44</f>
        <v>313594.039940711</v>
      </c>
      <c r="I45" s="33" t="n">
        <f aca="false">I41-I42-I43-I44</f>
        <v>387771.922355328</v>
      </c>
      <c r="J45" s="33" t="n">
        <f aca="false">J41-J42-J43-J44</f>
        <v>266864.579107285</v>
      </c>
      <c r="K45" s="33" t="n">
        <f aca="false">K41-K42-K43-K44</f>
        <v>330558.385778389</v>
      </c>
      <c r="L45" s="33" t="n">
        <f aca="false">L41-L42-L43-L44</f>
        <v>399476.680020402</v>
      </c>
      <c r="M45" s="33" t="n">
        <f aca="false">M41-M42-M43-M44</f>
        <v>430217.733419484</v>
      </c>
      <c r="N45" s="33" t="n">
        <f aca="false">N41-N42-N43-N44</f>
        <v>459575.439415607</v>
      </c>
      <c r="O45" s="33" t="n">
        <f aca="false">O41-O42-O43-O44</f>
        <v>416072.307713524</v>
      </c>
      <c r="P45" s="33" t="n">
        <f aca="false">P41-P42-P43-P44</f>
        <v>346729.294399811</v>
      </c>
      <c r="Q45" s="33" t="n">
        <f aca="false">Q41-Q42-Q43-Q44</f>
        <v>379843.98015182</v>
      </c>
      <c r="R45" s="33" t="n">
        <f aca="false">R41-R42-R43-R44</f>
        <v>685780.841741647</v>
      </c>
      <c r="S45" s="33" t="n">
        <f aca="false">S41-S42-S43-S44</f>
        <v>809728.1982496</v>
      </c>
      <c r="T45" s="33" t="n">
        <f aca="false">T41-T42-T43-T44</f>
        <v>941024.56726731</v>
      </c>
      <c r="U45" s="33" t="n">
        <f aca="false">U41-U42-U43-U44</f>
        <v>1079122.92555197</v>
      </c>
      <c r="V45" s="33" t="n">
        <f aca="false">V41-V42-V43-V44</f>
        <v>699148.914401313</v>
      </c>
      <c r="W45" s="33" t="n">
        <f aca="false">W41-W42-W43-W44</f>
        <v>824224.37090991</v>
      </c>
      <c r="X45" s="33" t="n">
        <f aca="false">X41-X42-X43-X44</f>
        <v>955789.478021071</v>
      </c>
      <c r="Y45" s="33" t="n">
        <f aca="false">Y41-Y42-Y43-Y44</f>
        <v>993974.791510122</v>
      </c>
      <c r="Z45" s="33" t="n">
        <f aca="false">Z41-Z42-Z43-Z44</f>
        <v>1030441.76589217</v>
      </c>
      <c r="AA45" s="33" t="n">
        <f aca="false">AA41-AA42-AA43-AA44</f>
        <v>878196.849941616</v>
      </c>
      <c r="AB45" s="33" t="n">
        <f aca="false">AB41-AB42-AB43-AB44</f>
        <v>697212.999370683</v>
      </c>
      <c r="AC45" s="33" t="n">
        <f aca="false">AC41-AC42-AC43-AC44</f>
        <v>734042.919999002</v>
      </c>
      <c r="AD45" s="33" t="n">
        <f aca="false">AD41-AD42-AD43-AD44</f>
        <v>1282025.82366508</v>
      </c>
      <c r="AE45" s="33" t="n">
        <f aca="false">AE41-AE42-AE43-AE44</f>
        <v>1471809.72136016</v>
      </c>
      <c r="AF45" s="33" t="n">
        <f aca="false">AF41-AF42-AF43-AF44</f>
        <v>1669767.13908977</v>
      </c>
      <c r="AG45" s="33" t="n">
        <f aca="false">AG41-AG42-AG43-AG44</f>
        <v>1875289.68144996</v>
      </c>
      <c r="AH45" s="33" t="n">
        <f aca="false">AH41-AH42-AH43-AH44</f>
        <v>1193032.6612829</v>
      </c>
      <c r="AI45" s="33" t="n">
        <f aca="false">AI41-AI42-AI43-AI44</f>
        <v>1384071.22386581</v>
      </c>
      <c r="AJ45" s="33" t="n">
        <f aca="false">AJ41-AJ42-AJ43-AJ44</f>
        <v>1582327.53021317</v>
      </c>
      <c r="AK45" s="33" t="n">
        <f aca="false">AK41-AK42-AK43-AK44</f>
        <v>1624796.96735358</v>
      </c>
      <c r="AL45" s="33" t="n">
        <f aca="false">AL41-AL42-AL43-AL44</f>
        <v>1665355.27982267</v>
      </c>
    </row>
    <row r="46" customFormat="false" ht="15" hidden="false" customHeight="false" outlineLevel="0" collapsed="false">
      <c r="A46" s="6" t="s">
        <v>145</v>
      </c>
      <c r="B46" s="3" t="s">
        <v>70</v>
      </c>
      <c r="C46" s="12" t="n">
        <f aca="false">C34*Допущения!$D$30</f>
        <v>450000</v>
      </c>
      <c r="D46" s="12" t="n">
        <f aca="false">D34*Допущения!$D$30</f>
        <v>450000</v>
      </c>
      <c r="E46" s="12" t="n">
        <f aca="false">E34*Допущения!$D$30</f>
        <v>450000</v>
      </c>
      <c r="F46" s="12" t="n">
        <f aca="false">F34*Допущения!$D$30</f>
        <v>450000</v>
      </c>
      <c r="G46" s="12" t="n">
        <f aca="false">G34*Допущения!$D$30</f>
        <v>450000</v>
      </c>
      <c r="H46" s="12" t="n">
        <f aca="false">H34*Допущения!$D$30</f>
        <v>450000</v>
      </c>
      <c r="I46" s="12" t="n">
        <f aca="false">I34*Допущения!$D$30</f>
        <v>450000</v>
      </c>
      <c r="J46" s="12" t="n">
        <f aca="false">J34*Допущения!$D$30</f>
        <v>450000</v>
      </c>
      <c r="K46" s="12" t="n">
        <f aca="false">K34*Допущения!$D$30</f>
        <v>450000</v>
      </c>
      <c r="L46" s="12" t="n">
        <f aca="false">L34*Допущения!$D$30</f>
        <v>450000</v>
      </c>
      <c r="M46" s="12" t="n">
        <f aca="false">M34*Допущения!$D$30</f>
        <v>450000</v>
      </c>
      <c r="N46" s="12" t="n">
        <f aca="false">N34*Допущения!$D$30</f>
        <v>450000</v>
      </c>
      <c r="O46" s="12" t="n">
        <f aca="false">O34*Допущения!$D$30</f>
        <v>750000</v>
      </c>
      <c r="P46" s="12" t="n">
        <f aca="false">P34*Допущения!$D$30</f>
        <v>750000</v>
      </c>
      <c r="Q46" s="12" t="n">
        <f aca="false">Q34*Допущения!$D$30</f>
        <v>750000</v>
      </c>
      <c r="R46" s="12" t="n">
        <f aca="false">R34*Допущения!$D$30</f>
        <v>750000</v>
      </c>
      <c r="S46" s="12" t="n">
        <f aca="false">S34*Допущения!$D$30</f>
        <v>750000</v>
      </c>
      <c r="T46" s="12" t="n">
        <f aca="false">T34*Допущения!$D$30</f>
        <v>750000</v>
      </c>
      <c r="U46" s="12" t="n">
        <f aca="false">U34*Допущения!$D$30</f>
        <v>750000</v>
      </c>
      <c r="V46" s="12" t="n">
        <f aca="false">V34*Допущения!$D$30</f>
        <v>750000</v>
      </c>
      <c r="W46" s="12" t="n">
        <f aca="false">W34*Допущения!$D$30</f>
        <v>750000</v>
      </c>
      <c r="X46" s="12" t="n">
        <f aca="false">X34*Допущения!$D$30</f>
        <v>750000</v>
      </c>
      <c r="Y46" s="12" t="n">
        <f aca="false">Y34*Допущения!$D$30</f>
        <v>750000</v>
      </c>
      <c r="Z46" s="12" t="n">
        <f aca="false">Z34*Допущения!$D$30</f>
        <v>750000</v>
      </c>
      <c r="AA46" s="12" t="n">
        <f aca="false">AA34*Допущения!$D$30</f>
        <v>1050000</v>
      </c>
      <c r="AB46" s="12" t="n">
        <f aca="false">AB34*Допущения!$D$30</f>
        <v>1050000</v>
      </c>
      <c r="AC46" s="12" t="n">
        <f aca="false">AC34*Допущения!$D$30</f>
        <v>1050000</v>
      </c>
      <c r="AD46" s="12" t="n">
        <f aca="false">AD34*Допущения!$D$30</f>
        <v>1050000</v>
      </c>
      <c r="AE46" s="12" t="n">
        <f aca="false">AE34*Допущения!$D$30</f>
        <v>1050000</v>
      </c>
      <c r="AF46" s="12" t="n">
        <f aca="false">AF34*Допущения!$D$30</f>
        <v>1050000</v>
      </c>
      <c r="AG46" s="12" t="n">
        <f aca="false">AG34*Допущения!$D$30</f>
        <v>1050000</v>
      </c>
      <c r="AH46" s="12" t="n">
        <f aca="false">AH34*Допущения!$D$30</f>
        <v>1050000</v>
      </c>
      <c r="AI46" s="12" t="n">
        <f aca="false">AI34*Допущения!$D$30</f>
        <v>1050000</v>
      </c>
      <c r="AJ46" s="12" t="n">
        <f aca="false">AJ34*Допущения!$D$30</f>
        <v>1050000</v>
      </c>
      <c r="AK46" s="12" t="n">
        <f aca="false">AK34*Допущения!$D$30</f>
        <v>1050000</v>
      </c>
      <c r="AL46" s="12" t="n">
        <f aca="false">AL34*Допущения!$D$30</f>
        <v>1050000</v>
      </c>
    </row>
    <row r="47" customFormat="false" ht="15" hidden="false" customHeight="false" outlineLevel="0" collapsed="false">
      <c r="A47" s="6" t="s">
        <v>146</v>
      </c>
      <c r="B47" s="3" t="s">
        <v>70</v>
      </c>
      <c r="C47" s="12" t="n">
        <f aca="false">CHOOSE(C$6,Допущения!$C$18,Допущения!$D$18,Допущения!$E$18)</f>
        <v>60000</v>
      </c>
      <c r="D47" s="12" t="n">
        <f aca="false">CHOOSE(D$6,Допущения!$C$18,Допущения!$D$18,Допущения!$E$18)</f>
        <v>60000</v>
      </c>
      <c r="E47" s="12" t="n">
        <f aca="false">CHOOSE(E$6,Допущения!$C$18,Допущения!$D$18,Допущения!$E$18)</f>
        <v>60000</v>
      </c>
      <c r="F47" s="12" t="n">
        <f aca="false">CHOOSE(F$6,Допущения!$C$18,Допущения!$D$18,Допущения!$E$18)</f>
        <v>60000</v>
      </c>
      <c r="G47" s="12" t="n">
        <f aca="false">CHOOSE(G$6,Допущения!$C$18,Допущения!$D$18,Допущения!$E$18)</f>
        <v>60000</v>
      </c>
      <c r="H47" s="12" t="n">
        <f aca="false">CHOOSE(H$6,Допущения!$C$18,Допущения!$D$18,Допущения!$E$18)</f>
        <v>60000</v>
      </c>
      <c r="I47" s="12" t="n">
        <f aca="false">CHOOSE(I$6,Допущения!$C$18,Допущения!$D$18,Допущения!$E$18)</f>
        <v>60000</v>
      </c>
      <c r="J47" s="12" t="n">
        <f aca="false">CHOOSE(J$6,Допущения!$C$18,Допущения!$D$18,Допущения!$E$18)</f>
        <v>60000</v>
      </c>
      <c r="K47" s="12" t="n">
        <f aca="false">CHOOSE(K$6,Допущения!$C$18,Допущения!$D$18,Допущения!$E$18)</f>
        <v>60000</v>
      </c>
      <c r="L47" s="12" t="n">
        <f aca="false">CHOOSE(L$6,Допущения!$C$18,Допущения!$D$18,Допущения!$E$18)</f>
        <v>60000</v>
      </c>
      <c r="M47" s="12" t="n">
        <f aca="false">CHOOSE(M$6,Допущения!$C$18,Допущения!$D$18,Допущения!$E$18)</f>
        <v>60000</v>
      </c>
      <c r="N47" s="12" t="n">
        <f aca="false">CHOOSE(N$6,Допущения!$C$18,Допущения!$D$18,Допущения!$E$18)</f>
        <v>60000</v>
      </c>
      <c r="O47" s="12" t="n">
        <f aca="false">CHOOSE(O$6,Допущения!$C$18,Допущения!$D$18,Допущения!$E$18)</f>
        <v>120000</v>
      </c>
      <c r="P47" s="12" t="n">
        <f aca="false">CHOOSE(P$6,Допущения!$C$18,Допущения!$D$18,Допущения!$E$18)</f>
        <v>120000</v>
      </c>
      <c r="Q47" s="12" t="n">
        <f aca="false">CHOOSE(Q$6,Допущения!$C$18,Допущения!$D$18,Допущения!$E$18)</f>
        <v>120000</v>
      </c>
      <c r="R47" s="12" t="n">
        <f aca="false">CHOOSE(R$6,Допущения!$C$18,Допущения!$D$18,Допущения!$E$18)</f>
        <v>120000</v>
      </c>
      <c r="S47" s="12" t="n">
        <f aca="false">CHOOSE(S$6,Допущения!$C$18,Допущения!$D$18,Допущения!$E$18)</f>
        <v>120000</v>
      </c>
      <c r="T47" s="12" t="n">
        <f aca="false">CHOOSE(T$6,Допущения!$C$18,Допущения!$D$18,Допущения!$E$18)</f>
        <v>120000</v>
      </c>
      <c r="U47" s="12" t="n">
        <f aca="false">CHOOSE(U$6,Допущения!$C$18,Допущения!$D$18,Допущения!$E$18)</f>
        <v>120000</v>
      </c>
      <c r="V47" s="12" t="n">
        <f aca="false">CHOOSE(V$6,Допущения!$C$18,Допущения!$D$18,Допущения!$E$18)</f>
        <v>120000</v>
      </c>
      <c r="W47" s="12" t="n">
        <f aca="false">CHOOSE(W$6,Допущения!$C$18,Допущения!$D$18,Допущения!$E$18)</f>
        <v>120000</v>
      </c>
      <c r="X47" s="12" t="n">
        <f aca="false">CHOOSE(X$6,Допущения!$C$18,Допущения!$D$18,Допущения!$E$18)</f>
        <v>120000</v>
      </c>
      <c r="Y47" s="12" t="n">
        <f aca="false">CHOOSE(Y$6,Допущения!$C$18,Допущения!$D$18,Допущения!$E$18)</f>
        <v>120000</v>
      </c>
      <c r="Z47" s="12" t="n">
        <f aca="false">CHOOSE(Z$6,Допущения!$C$18,Допущения!$D$18,Допущения!$E$18)</f>
        <v>120000</v>
      </c>
      <c r="AA47" s="12" t="n">
        <f aca="false">CHOOSE(AA$6,Допущения!$C$18,Допущения!$D$18,Допущения!$E$18)</f>
        <v>200000</v>
      </c>
      <c r="AB47" s="12" t="n">
        <f aca="false">CHOOSE(AB$6,Допущения!$C$18,Допущения!$D$18,Допущения!$E$18)</f>
        <v>200000</v>
      </c>
      <c r="AC47" s="12" t="n">
        <f aca="false">CHOOSE(AC$6,Допущения!$C$18,Допущения!$D$18,Допущения!$E$18)</f>
        <v>200000</v>
      </c>
      <c r="AD47" s="12" t="n">
        <f aca="false">CHOOSE(AD$6,Допущения!$C$18,Допущения!$D$18,Допущения!$E$18)</f>
        <v>200000</v>
      </c>
      <c r="AE47" s="12" t="n">
        <f aca="false">CHOOSE(AE$6,Допущения!$C$18,Допущения!$D$18,Допущения!$E$18)</f>
        <v>200000</v>
      </c>
      <c r="AF47" s="12" t="n">
        <f aca="false">CHOOSE(AF$6,Допущения!$C$18,Допущения!$D$18,Допущения!$E$18)</f>
        <v>200000</v>
      </c>
      <c r="AG47" s="12" t="n">
        <f aca="false">CHOOSE(AG$6,Допущения!$C$18,Допущения!$D$18,Допущения!$E$18)</f>
        <v>200000</v>
      </c>
      <c r="AH47" s="12" t="n">
        <f aca="false">CHOOSE(AH$6,Допущения!$C$18,Допущения!$D$18,Допущения!$E$18)</f>
        <v>200000</v>
      </c>
      <c r="AI47" s="12" t="n">
        <f aca="false">CHOOSE(AI$6,Допущения!$C$18,Допущения!$D$18,Допущения!$E$18)</f>
        <v>200000</v>
      </c>
      <c r="AJ47" s="12" t="n">
        <f aca="false">CHOOSE(AJ$6,Допущения!$C$18,Допущения!$D$18,Допущения!$E$18)</f>
        <v>200000</v>
      </c>
      <c r="AK47" s="12" t="n">
        <f aca="false">CHOOSE(AK$6,Допущения!$C$18,Допущения!$D$18,Допущения!$E$18)</f>
        <v>200000</v>
      </c>
      <c r="AL47" s="12" t="n">
        <f aca="false">CHOOSE(AL$6,Допущения!$C$18,Допущения!$D$18,Допущения!$E$18)</f>
        <v>200000</v>
      </c>
    </row>
    <row r="48" customFormat="false" ht="15" hidden="false" customHeight="false" outlineLevel="0" collapsed="false">
      <c r="A48" s="6" t="s">
        <v>147</v>
      </c>
      <c r="B48" s="3" t="s">
        <v>70</v>
      </c>
      <c r="C48" s="12" t="n">
        <f aca="false">Допущения!$C$15+IF(C$4=1,Допущения!$C$14,0)</f>
        <v>840000</v>
      </c>
      <c r="D48" s="12" t="n">
        <f aca="false">Допущения!$C$15+IF(D$4=1,Допущения!$C$14,0)</f>
        <v>40000</v>
      </c>
      <c r="E48" s="12" t="n">
        <f aca="false">Допущения!$C$15+IF(E$4=1,Допущения!$C$14,0)</f>
        <v>40000</v>
      </c>
      <c r="F48" s="12" t="n">
        <f aca="false">Допущения!$C$15+IF(F$4=1,Допущения!$C$14,0)</f>
        <v>40000</v>
      </c>
      <c r="G48" s="12" t="n">
        <f aca="false">Допущения!$C$15+IF(G$4=1,Допущения!$C$14,0)</f>
        <v>40000</v>
      </c>
      <c r="H48" s="12" t="n">
        <f aca="false">Допущения!$C$15+IF(H$4=1,Допущения!$C$14,0)</f>
        <v>40000</v>
      </c>
      <c r="I48" s="12" t="n">
        <f aca="false">Допущения!$C$15+IF(I$4=1,Допущения!$C$14,0)</f>
        <v>40000</v>
      </c>
      <c r="J48" s="12" t="n">
        <f aca="false">Допущения!$C$15+IF(J$4=1,Допущения!$C$14,0)</f>
        <v>40000</v>
      </c>
      <c r="K48" s="12" t="n">
        <f aca="false">Допущения!$C$15+IF(K$4=1,Допущения!$C$14,0)</f>
        <v>40000</v>
      </c>
      <c r="L48" s="12" t="n">
        <f aca="false">Допущения!$C$15+IF(L$4=1,Допущения!$C$14,0)</f>
        <v>40000</v>
      </c>
      <c r="M48" s="12" t="n">
        <f aca="false">Допущения!$C$15+IF(M$4=1,Допущения!$C$14,0)</f>
        <v>40000</v>
      </c>
      <c r="N48" s="12" t="n">
        <f aca="false">Допущения!$C$15+IF(N$4=1,Допущения!$C$14,0)</f>
        <v>40000</v>
      </c>
      <c r="O48" s="12" t="n">
        <f aca="false">Допущения!$C$15+IF(O$4=1,Допущения!$C$14,0)</f>
        <v>40000</v>
      </c>
      <c r="P48" s="12" t="n">
        <f aca="false">Допущения!$C$15+IF(P$4=1,Допущения!$C$14,0)</f>
        <v>40000</v>
      </c>
      <c r="Q48" s="12" t="n">
        <f aca="false">Допущения!$C$15+IF(Q$4=1,Допущения!$C$14,0)</f>
        <v>40000</v>
      </c>
      <c r="R48" s="12" t="n">
        <f aca="false">Допущения!$C$15+IF(R$4=1,Допущения!$C$14,0)</f>
        <v>40000</v>
      </c>
      <c r="S48" s="12" t="n">
        <f aca="false">Допущения!$C$15+IF(S$4=1,Допущения!$C$14,0)</f>
        <v>40000</v>
      </c>
      <c r="T48" s="12" t="n">
        <f aca="false">Допущения!$C$15+IF(T$4=1,Допущения!$C$14,0)</f>
        <v>40000</v>
      </c>
      <c r="U48" s="12" t="n">
        <f aca="false">Допущения!$C$15+IF(U$4=1,Допущения!$C$14,0)</f>
        <v>40000</v>
      </c>
      <c r="V48" s="12" t="n">
        <f aca="false">Допущения!$C$15+IF(V$4=1,Допущения!$C$14,0)</f>
        <v>40000</v>
      </c>
      <c r="W48" s="12" t="n">
        <f aca="false">Допущения!$C$15+IF(W$4=1,Допущения!$C$14,0)</f>
        <v>40000</v>
      </c>
      <c r="X48" s="12" t="n">
        <f aca="false">Допущения!$C$15+IF(X$4=1,Допущения!$C$14,0)</f>
        <v>40000</v>
      </c>
      <c r="Y48" s="12" t="n">
        <f aca="false">Допущения!$C$15+IF(Y$4=1,Допущения!$C$14,0)</f>
        <v>40000</v>
      </c>
      <c r="Z48" s="12" t="n">
        <f aca="false">Допущения!$C$15+IF(Z$4=1,Допущения!$C$14,0)</f>
        <v>40000</v>
      </c>
      <c r="AA48" s="12" t="n">
        <f aca="false">Допущения!$C$15+IF(AA$4=1,Допущения!$C$14,0)</f>
        <v>40000</v>
      </c>
      <c r="AB48" s="12" t="n">
        <f aca="false">Допущения!$C$15+IF(AB$4=1,Допущения!$C$14,0)</f>
        <v>40000</v>
      </c>
      <c r="AC48" s="12" t="n">
        <f aca="false">Допущения!$C$15+IF(AC$4=1,Допущения!$C$14,0)</f>
        <v>40000</v>
      </c>
      <c r="AD48" s="12" t="n">
        <f aca="false">Допущения!$C$15+IF(AD$4=1,Допущения!$C$14,0)</f>
        <v>40000</v>
      </c>
      <c r="AE48" s="12" t="n">
        <f aca="false">Допущения!$C$15+IF(AE$4=1,Допущения!$C$14,0)</f>
        <v>40000</v>
      </c>
      <c r="AF48" s="12" t="n">
        <f aca="false">Допущения!$C$15+IF(AF$4=1,Допущения!$C$14,0)</f>
        <v>40000</v>
      </c>
      <c r="AG48" s="12" t="n">
        <f aca="false">Допущения!$C$15+IF(AG$4=1,Допущения!$C$14,0)</f>
        <v>40000</v>
      </c>
      <c r="AH48" s="12" t="n">
        <f aca="false">Допущения!$C$15+IF(AH$4=1,Допущения!$C$14,0)</f>
        <v>40000</v>
      </c>
      <c r="AI48" s="12" t="n">
        <f aca="false">Допущения!$C$15+IF(AI$4=1,Допущения!$C$14,0)</f>
        <v>40000</v>
      </c>
      <c r="AJ48" s="12" t="n">
        <f aca="false">Допущения!$C$15+IF(AJ$4=1,Допущения!$C$14,0)</f>
        <v>40000</v>
      </c>
      <c r="AK48" s="12" t="n">
        <f aca="false">Допущения!$C$15+IF(AK$4=1,Допущения!$C$14,0)</f>
        <v>40000</v>
      </c>
      <c r="AL48" s="12" t="n">
        <f aca="false">Допущения!$C$15+IF(AL$4=1,Допущения!$C$14,0)</f>
        <v>40000</v>
      </c>
    </row>
    <row r="49" customFormat="false" ht="15" hidden="false" customHeight="false" outlineLevel="0" collapsed="false">
      <c r="A49" s="6" t="s">
        <v>148</v>
      </c>
      <c r="B49" s="3" t="s">
        <v>70</v>
      </c>
      <c r="C49" s="12" t="n">
        <f aca="false">CHOOSE(C$6,Допущения!$C$19,Допущения!$D$19,Допущения!$E$19)</f>
        <v>0</v>
      </c>
      <c r="D49" s="12" t="n">
        <f aca="false">CHOOSE(D$6,Допущения!$C$19,Допущения!$D$19,Допущения!$E$19)</f>
        <v>0</v>
      </c>
      <c r="E49" s="12" t="n">
        <f aca="false">CHOOSE(E$6,Допущения!$C$19,Допущения!$D$19,Допущения!$E$19)</f>
        <v>0</v>
      </c>
      <c r="F49" s="12" t="n">
        <f aca="false">CHOOSE(F$6,Допущения!$C$19,Допущения!$D$19,Допущения!$E$19)</f>
        <v>0</v>
      </c>
      <c r="G49" s="12" t="n">
        <f aca="false">CHOOSE(G$6,Допущения!$C$19,Допущения!$D$19,Допущения!$E$19)</f>
        <v>0</v>
      </c>
      <c r="H49" s="12" t="n">
        <f aca="false">CHOOSE(H$6,Допущения!$C$19,Допущения!$D$19,Допущения!$E$19)</f>
        <v>0</v>
      </c>
      <c r="I49" s="12" t="n">
        <f aca="false">CHOOSE(I$6,Допущения!$C$19,Допущения!$D$19,Допущения!$E$19)</f>
        <v>0</v>
      </c>
      <c r="J49" s="12" t="n">
        <f aca="false">CHOOSE(J$6,Допущения!$C$19,Допущения!$D$19,Допущения!$E$19)</f>
        <v>0</v>
      </c>
      <c r="K49" s="12" t="n">
        <f aca="false">CHOOSE(K$6,Допущения!$C$19,Допущения!$D$19,Допущения!$E$19)</f>
        <v>0</v>
      </c>
      <c r="L49" s="12" t="n">
        <f aca="false">CHOOSE(L$6,Допущения!$C$19,Допущения!$D$19,Допущения!$E$19)</f>
        <v>0</v>
      </c>
      <c r="M49" s="12" t="n">
        <f aca="false">CHOOSE(M$6,Допущения!$C$19,Допущения!$D$19,Допущения!$E$19)</f>
        <v>0</v>
      </c>
      <c r="N49" s="12" t="n">
        <f aca="false">CHOOSE(N$6,Допущения!$C$19,Допущения!$D$19,Допущения!$E$19)</f>
        <v>0</v>
      </c>
      <c r="O49" s="12" t="n">
        <f aca="false">CHOOSE(O$6,Допущения!$C$19,Допущения!$D$19,Допущения!$E$19)</f>
        <v>300000</v>
      </c>
      <c r="P49" s="12" t="n">
        <f aca="false">CHOOSE(P$6,Допущения!$C$19,Допущения!$D$19,Допущения!$E$19)</f>
        <v>300000</v>
      </c>
      <c r="Q49" s="12" t="n">
        <f aca="false">CHOOSE(Q$6,Допущения!$C$19,Допущения!$D$19,Допущения!$E$19)</f>
        <v>300000</v>
      </c>
      <c r="R49" s="12" t="n">
        <f aca="false">CHOOSE(R$6,Допущения!$C$19,Допущения!$D$19,Допущения!$E$19)</f>
        <v>300000</v>
      </c>
      <c r="S49" s="12" t="n">
        <f aca="false">CHOOSE(S$6,Допущения!$C$19,Допущения!$D$19,Допущения!$E$19)</f>
        <v>300000</v>
      </c>
      <c r="T49" s="12" t="n">
        <f aca="false">CHOOSE(T$6,Допущения!$C$19,Допущения!$D$19,Допущения!$E$19)</f>
        <v>300000</v>
      </c>
      <c r="U49" s="12" t="n">
        <f aca="false">CHOOSE(U$6,Допущения!$C$19,Допущения!$D$19,Допущения!$E$19)</f>
        <v>300000</v>
      </c>
      <c r="V49" s="12" t="n">
        <f aca="false">CHOOSE(V$6,Допущения!$C$19,Допущения!$D$19,Допущения!$E$19)</f>
        <v>300000</v>
      </c>
      <c r="W49" s="12" t="n">
        <f aca="false">CHOOSE(W$6,Допущения!$C$19,Допущения!$D$19,Допущения!$E$19)</f>
        <v>300000</v>
      </c>
      <c r="X49" s="12" t="n">
        <f aca="false">CHOOSE(X$6,Допущения!$C$19,Допущения!$D$19,Допущения!$E$19)</f>
        <v>300000</v>
      </c>
      <c r="Y49" s="12" t="n">
        <f aca="false">CHOOSE(Y$6,Допущения!$C$19,Допущения!$D$19,Допущения!$E$19)</f>
        <v>300000</v>
      </c>
      <c r="Z49" s="12" t="n">
        <f aca="false">CHOOSE(Z$6,Допущения!$C$19,Допущения!$D$19,Допущения!$E$19)</f>
        <v>300000</v>
      </c>
      <c r="AA49" s="12" t="n">
        <f aca="false">CHOOSE(AA$6,Допущения!$C$19,Допущения!$D$19,Допущения!$E$19)</f>
        <v>500000</v>
      </c>
      <c r="AB49" s="12" t="n">
        <f aca="false">CHOOSE(AB$6,Допущения!$C$19,Допущения!$D$19,Допущения!$E$19)</f>
        <v>500000</v>
      </c>
      <c r="AC49" s="12" t="n">
        <f aca="false">CHOOSE(AC$6,Допущения!$C$19,Допущения!$D$19,Допущения!$E$19)</f>
        <v>500000</v>
      </c>
      <c r="AD49" s="12" t="n">
        <f aca="false">CHOOSE(AD$6,Допущения!$C$19,Допущения!$D$19,Допущения!$E$19)</f>
        <v>500000</v>
      </c>
      <c r="AE49" s="12" t="n">
        <f aca="false">CHOOSE(AE$6,Допущения!$C$19,Допущения!$D$19,Допущения!$E$19)</f>
        <v>500000</v>
      </c>
      <c r="AF49" s="12" t="n">
        <f aca="false">CHOOSE(AF$6,Допущения!$C$19,Допущения!$D$19,Допущения!$E$19)</f>
        <v>500000</v>
      </c>
      <c r="AG49" s="12" t="n">
        <f aca="false">CHOOSE(AG$6,Допущения!$C$19,Допущения!$D$19,Допущения!$E$19)</f>
        <v>500000</v>
      </c>
      <c r="AH49" s="12" t="n">
        <f aca="false">CHOOSE(AH$6,Допущения!$C$19,Допущения!$D$19,Допущения!$E$19)</f>
        <v>500000</v>
      </c>
      <c r="AI49" s="12" t="n">
        <f aca="false">CHOOSE(AI$6,Допущения!$C$19,Допущения!$D$19,Допущения!$E$19)</f>
        <v>500000</v>
      </c>
      <c r="AJ49" s="12" t="n">
        <f aca="false">CHOOSE(AJ$6,Допущения!$C$19,Допущения!$D$19,Допущения!$E$19)</f>
        <v>500000</v>
      </c>
      <c r="AK49" s="12" t="n">
        <f aca="false">CHOOSE(AK$6,Допущения!$C$19,Допущения!$D$19,Допущения!$E$19)</f>
        <v>500000</v>
      </c>
      <c r="AL49" s="12" t="n">
        <f aca="false">CHOOSE(AL$6,Допущения!$C$19,Допущения!$D$19,Допущения!$E$19)</f>
        <v>500000</v>
      </c>
    </row>
    <row r="50" customFormat="false" ht="15" hidden="false" customHeight="false" outlineLevel="0" collapsed="false">
      <c r="A50" s="6" t="s">
        <v>149</v>
      </c>
      <c r="B50" s="3" t="s">
        <v>70</v>
      </c>
      <c r="C50" s="12" t="n">
        <f aca="false">SUM(C46:C49)</f>
        <v>1350000</v>
      </c>
      <c r="D50" s="12" t="n">
        <f aca="false">SUM(D46:D49)</f>
        <v>550000</v>
      </c>
      <c r="E50" s="12" t="n">
        <f aca="false">SUM(E46:E49)</f>
        <v>550000</v>
      </c>
      <c r="F50" s="12" t="n">
        <f aca="false">SUM(F46:F49)</f>
        <v>550000</v>
      </c>
      <c r="G50" s="12" t="n">
        <f aca="false">SUM(G46:G49)</f>
        <v>550000</v>
      </c>
      <c r="H50" s="12" t="n">
        <f aca="false">SUM(H46:H49)</f>
        <v>550000</v>
      </c>
      <c r="I50" s="12" t="n">
        <f aca="false">SUM(I46:I49)</f>
        <v>550000</v>
      </c>
      <c r="J50" s="12" t="n">
        <f aca="false">SUM(J46:J49)</f>
        <v>550000</v>
      </c>
      <c r="K50" s="12" t="n">
        <f aca="false">SUM(K46:K49)</f>
        <v>550000</v>
      </c>
      <c r="L50" s="12" t="n">
        <f aca="false">SUM(L46:L49)</f>
        <v>550000</v>
      </c>
      <c r="M50" s="12" t="n">
        <f aca="false">SUM(M46:M49)</f>
        <v>550000</v>
      </c>
      <c r="N50" s="12" t="n">
        <f aca="false">SUM(N46:N49)</f>
        <v>550000</v>
      </c>
      <c r="O50" s="12" t="n">
        <f aca="false">SUM(O46:O49)</f>
        <v>1210000</v>
      </c>
      <c r="P50" s="12" t="n">
        <f aca="false">SUM(P46:P49)</f>
        <v>1210000</v>
      </c>
      <c r="Q50" s="12" t="n">
        <f aca="false">SUM(Q46:Q49)</f>
        <v>1210000</v>
      </c>
      <c r="R50" s="12" t="n">
        <f aca="false">SUM(R46:R49)</f>
        <v>1210000</v>
      </c>
      <c r="S50" s="12" t="n">
        <f aca="false">SUM(S46:S49)</f>
        <v>1210000</v>
      </c>
      <c r="T50" s="12" t="n">
        <f aca="false">SUM(T46:T49)</f>
        <v>1210000</v>
      </c>
      <c r="U50" s="12" t="n">
        <f aca="false">SUM(U46:U49)</f>
        <v>1210000</v>
      </c>
      <c r="V50" s="12" t="n">
        <f aca="false">SUM(V46:V49)</f>
        <v>1210000</v>
      </c>
      <c r="W50" s="12" t="n">
        <f aca="false">SUM(W46:W49)</f>
        <v>1210000</v>
      </c>
      <c r="X50" s="12" t="n">
        <f aca="false">SUM(X46:X49)</f>
        <v>1210000</v>
      </c>
      <c r="Y50" s="12" t="n">
        <f aca="false">SUM(Y46:Y49)</f>
        <v>1210000</v>
      </c>
      <c r="Z50" s="12" t="n">
        <f aca="false">SUM(Z46:Z49)</f>
        <v>1210000</v>
      </c>
      <c r="AA50" s="12" t="n">
        <f aca="false">SUM(AA46:AA49)</f>
        <v>1790000</v>
      </c>
      <c r="AB50" s="12" t="n">
        <f aca="false">SUM(AB46:AB49)</f>
        <v>1790000</v>
      </c>
      <c r="AC50" s="12" t="n">
        <f aca="false">SUM(AC46:AC49)</f>
        <v>1790000</v>
      </c>
      <c r="AD50" s="12" t="n">
        <f aca="false">SUM(AD46:AD49)</f>
        <v>1790000</v>
      </c>
      <c r="AE50" s="12" t="n">
        <f aca="false">SUM(AE46:AE49)</f>
        <v>1790000</v>
      </c>
      <c r="AF50" s="12" t="n">
        <f aca="false">SUM(AF46:AF49)</f>
        <v>1790000</v>
      </c>
      <c r="AG50" s="12" t="n">
        <f aca="false">SUM(AG46:AG49)</f>
        <v>1790000</v>
      </c>
      <c r="AH50" s="12" t="n">
        <f aca="false">SUM(AH46:AH49)</f>
        <v>1790000</v>
      </c>
      <c r="AI50" s="12" t="n">
        <f aca="false">SUM(AI46:AI49)</f>
        <v>1790000</v>
      </c>
      <c r="AJ50" s="12" t="n">
        <f aca="false">SUM(AJ46:AJ49)</f>
        <v>1790000</v>
      </c>
      <c r="AK50" s="12" t="n">
        <f aca="false">SUM(AK46:AK49)</f>
        <v>1790000</v>
      </c>
      <c r="AL50" s="12" t="n">
        <f aca="false">SUM(AL46:AL49)</f>
        <v>1790000</v>
      </c>
    </row>
    <row r="51" customFormat="false" ht="15" hidden="false" customHeight="false" outlineLevel="0" collapsed="false">
      <c r="A51" s="31" t="s">
        <v>150</v>
      </c>
      <c r="B51" s="32" t="s">
        <v>70</v>
      </c>
      <c r="C51" s="33" t="n">
        <f aca="false">C45-C50</f>
        <v>-1311025.9968</v>
      </c>
      <c r="D51" s="33" t="n">
        <f aca="false">D45-D50</f>
        <v>-492854.367808</v>
      </c>
      <c r="E51" s="33" t="n">
        <f aca="false">E45-E50</f>
        <v>-466195.41885664</v>
      </c>
      <c r="F51" s="33" t="n">
        <f aca="false">F45-F50</f>
        <v>-367893.537680152</v>
      </c>
      <c r="G51" s="33" t="n">
        <f aca="false">G45-G50</f>
        <v>-305107.906933</v>
      </c>
      <c r="H51" s="33" t="n">
        <f aca="false">H45-H50</f>
        <v>-236405.960059289</v>
      </c>
      <c r="I51" s="33" t="n">
        <f aca="false">I45-I50</f>
        <v>-162228.077644672</v>
      </c>
      <c r="J51" s="33" t="n">
        <f aca="false">J45-J50</f>
        <v>-283135.420892715</v>
      </c>
      <c r="K51" s="33" t="n">
        <f aca="false">K45-K50</f>
        <v>-219441.614221611</v>
      </c>
      <c r="L51" s="33" t="n">
        <f aca="false">L45-L50</f>
        <v>-150523.319979598</v>
      </c>
      <c r="M51" s="33" t="n">
        <f aca="false">M45-M50</f>
        <v>-119782.266580516</v>
      </c>
      <c r="N51" s="33" t="n">
        <f aca="false">N45-N50</f>
        <v>-90424.5605843931</v>
      </c>
      <c r="O51" s="33" t="n">
        <f aca="false">O45-O50</f>
        <v>-793927.692286476</v>
      </c>
      <c r="P51" s="33" t="n">
        <f aca="false">P45-P50</f>
        <v>-863270.705600189</v>
      </c>
      <c r="Q51" s="33" t="n">
        <f aca="false">Q45-Q50</f>
        <v>-830156.01984818</v>
      </c>
      <c r="R51" s="33" t="n">
        <f aca="false">R45-R50</f>
        <v>-524219.158258353</v>
      </c>
      <c r="S51" s="33" t="n">
        <f aca="false">S45-S50</f>
        <v>-400271.8017504</v>
      </c>
      <c r="T51" s="33" t="n">
        <f aca="false">T45-T50</f>
        <v>-268975.43273269</v>
      </c>
      <c r="U51" s="33" t="n">
        <f aca="false">U45-U50</f>
        <v>-130877.074448029</v>
      </c>
      <c r="V51" s="33" t="n">
        <f aca="false">V45-V50</f>
        <v>-510851.085598687</v>
      </c>
      <c r="W51" s="33" t="n">
        <f aca="false">W45-W50</f>
        <v>-385775.62909009</v>
      </c>
      <c r="X51" s="33" t="n">
        <f aca="false">X45-X50</f>
        <v>-254210.521978929</v>
      </c>
      <c r="Y51" s="33" t="n">
        <f aca="false">Y45-Y50</f>
        <v>-216025.208489878</v>
      </c>
      <c r="Z51" s="33" t="n">
        <f aca="false">Z45-Z50</f>
        <v>-179558.234107832</v>
      </c>
      <c r="AA51" s="33" t="n">
        <f aca="false">AA45-AA50</f>
        <v>-911803.150058384</v>
      </c>
      <c r="AB51" s="33" t="n">
        <f aca="false">AB45-AB50</f>
        <v>-1092787.00062932</v>
      </c>
      <c r="AC51" s="33" t="n">
        <f aca="false">AC45-AC50</f>
        <v>-1055957.080001</v>
      </c>
      <c r="AD51" s="33" t="n">
        <f aca="false">AD45-AD50</f>
        <v>-507974.176334922</v>
      </c>
      <c r="AE51" s="33" t="n">
        <f aca="false">AE45-AE50</f>
        <v>-318190.278639836</v>
      </c>
      <c r="AF51" s="33" t="n">
        <f aca="false">AF45-AF50</f>
        <v>-120232.860910229</v>
      </c>
      <c r="AG51" s="33" t="n">
        <f aca="false">AG45-AG50</f>
        <v>85289.6814499588</v>
      </c>
      <c r="AH51" s="33" t="n">
        <f aca="false">AH45-AH50</f>
        <v>-596967.338717101</v>
      </c>
      <c r="AI51" s="33" t="n">
        <f aca="false">AI45-AI50</f>
        <v>-405928.776134186</v>
      </c>
      <c r="AJ51" s="33" t="n">
        <f aca="false">AJ45-AJ50</f>
        <v>-207672.46978683</v>
      </c>
      <c r="AK51" s="33" t="n">
        <f aca="false">AK45-AK50</f>
        <v>-165203.032646423</v>
      </c>
      <c r="AL51" s="33" t="n">
        <f aca="false">AL45-AL50</f>
        <v>-124644.720177334</v>
      </c>
    </row>
    <row r="52" customFormat="false" ht="15" hidden="false" customHeight="false" outlineLevel="0" collapsed="false">
      <c r="A52" s="31" t="s">
        <v>151</v>
      </c>
      <c r="B52" s="32" t="s">
        <v>70</v>
      </c>
      <c r="C52" s="33" t="n">
        <f aca="false">C51</f>
        <v>-1311025.9968</v>
      </c>
      <c r="D52" s="33" t="n">
        <f aca="false">C52+D51</f>
        <v>-1803880.364608</v>
      </c>
      <c r="E52" s="33" t="n">
        <f aca="false">D52+E51</f>
        <v>-2270075.78346464</v>
      </c>
      <c r="F52" s="33" t="n">
        <f aca="false">E52+F51</f>
        <v>-2637969.32114479</v>
      </c>
      <c r="G52" s="33" t="n">
        <f aca="false">F52+G51</f>
        <v>-2943077.22807779</v>
      </c>
      <c r="H52" s="33" t="n">
        <f aca="false">G52+H51</f>
        <v>-3179483.18813708</v>
      </c>
      <c r="I52" s="33" t="n">
        <f aca="false">H52+I51</f>
        <v>-3341711.26578175</v>
      </c>
      <c r="J52" s="33" t="n">
        <f aca="false">I52+J51</f>
        <v>-3624846.68667447</v>
      </c>
      <c r="K52" s="33" t="n">
        <f aca="false">J52+K51</f>
        <v>-3844288.30089608</v>
      </c>
      <c r="L52" s="33" t="n">
        <f aca="false">K52+L51</f>
        <v>-3994811.62087568</v>
      </c>
      <c r="M52" s="33" t="n">
        <f aca="false">L52+M51</f>
        <v>-4114593.88745619</v>
      </c>
      <c r="N52" s="33" t="n">
        <f aca="false">M52+N51</f>
        <v>-4205018.44804059</v>
      </c>
      <c r="O52" s="33" t="n">
        <f aca="false">N52+O51</f>
        <v>-4998946.14032706</v>
      </c>
      <c r="P52" s="33" t="n">
        <f aca="false">O52+P51</f>
        <v>-5862216.84592725</v>
      </c>
      <c r="Q52" s="33" t="n">
        <f aca="false">P52+Q51</f>
        <v>-6692372.86577543</v>
      </c>
      <c r="R52" s="33" t="n">
        <f aca="false">Q52+R51</f>
        <v>-7216592.02403379</v>
      </c>
      <c r="S52" s="33" t="n">
        <f aca="false">R52+S51</f>
        <v>-7616863.82578419</v>
      </c>
      <c r="T52" s="33" t="n">
        <f aca="false">S52+T51</f>
        <v>-7885839.25851687</v>
      </c>
      <c r="U52" s="33" t="n">
        <f aca="false">T52+U51</f>
        <v>-8016716.3329649</v>
      </c>
      <c r="V52" s="33" t="n">
        <f aca="false">U52+V51</f>
        <v>-8527567.41856359</v>
      </c>
      <c r="W52" s="33" t="n">
        <f aca="false">V52+W51</f>
        <v>-8913343.04765368</v>
      </c>
      <c r="X52" s="33" t="n">
        <f aca="false">W52+X51</f>
        <v>-9167553.56963261</v>
      </c>
      <c r="Y52" s="33" t="n">
        <f aca="false">X52+Y51</f>
        <v>-9383578.77812249</v>
      </c>
      <c r="Z52" s="33" t="n">
        <f aca="false">Y52+Z51</f>
        <v>-9563137.01223032</v>
      </c>
      <c r="AA52" s="33" t="n">
        <f aca="false">Z52+AA51</f>
        <v>-10474940.1622887</v>
      </c>
      <c r="AB52" s="33" t="n">
        <f aca="false">AA52+AB51</f>
        <v>-11567727.162918</v>
      </c>
      <c r="AC52" s="33" t="n">
        <f aca="false">AB52+AC51</f>
        <v>-12623684.242919</v>
      </c>
      <c r="AD52" s="33" t="n">
        <f aca="false">AC52+AD51</f>
        <v>-13131658.4192539</v>
      </c>
      <c r="AE52" s="33" t="n">
        <f aca="false">AD52+AE51</f>
        <v>-13449848.6978938</v>
      </c>
      <c r="AF52" s="33" t="n">
        <f aca="false">AE52+AF51</f>
        <v>-13570081.558804</v>
      </c>
      <c r="AG52" s="33" t="n">
        <f aca="false">AF52+AG51</f>
        <v>-13484791.877354</v>
      </c>
      <c r="AH52" s="33" t="n">
        <f aca="false">AG52+AH51</f>
        <v>-14081759.2160711</v>
      </c>
      <c r="AI52" s="33" t="n">
        <f aca="false">AH52+AI51</f>
        <v>-14487687.9922053</v>
      </c>
      <c r="AJ52" s="33" t="n">
        <f aca="false">AI52+AJ51</f>
        <v>-14695360.4619922</v>
      </c>
      <c r="AK52" s="33" t="n">
        <f aca="false">AJ52+AK51</f>
        <v>-14860563.4946386</v>
      </c>
      <c r="AL52" s="33" t="n">
        <f aca="false">AK52+AL51</f>
        <v>-14985208.2148159</v>
      </c>
    </row>
    <row r="53" customFormat="false" ht="15" hidden="false" customHeight="false" outlineLevel="0" collapsed="false">
      <c r="A53" s="3" t="s">
        <v>152</v>
      </c>
      <c r="B53" s="3"/>
      <c r="C53" s="34" t="str">
        <f aca="false">IF(C51&gt;0,C$4,"")</f>
        <v/>
      </c>
      <c r="D53" s="34" t="str">
        <f aca="false">IF(D51&gt;0,D$4,"")</f>
        <v/>
      </c>
      <c r="E53" s="34" t="str">
        <f aca="false">IF(E51&gt;0,E$4,"")</f>
        <v/>
      </c>
      <c r="F53" s="34" t="str">
        <f aca="false">IF(F51&gt;0,F$4,"")</f>
        <v/>
      </c>
      <c r="G53" s="34" t="str">
        <f aca="false">IF(G51&gt;0,G$4,"")</f>
        <v/>
      </c>
      <c r="H53" s="34" t="str">
        <f aca="false">IF(H51&gt;0,H$4,"")</f>
        <v/>
      </c>
      <c r="I53" s="34" t="str">
        <f aca="false">IF(I51&gt;0,I$4,"")</f>
        <v/>
      </c>
      <c r="J53" s="34" t="str">
        <f aca="false">IF(J51&gt;0,J$4,"")</f>
        <v/>
      </c>
      <c r="K53" s="34" t="str">
        <f aca="false">IF(K51&gt;0,K$4,"")</f>
        <v/>
      </c>
      <c r="L53" s="34" t="str">
        <f aca="false">IF(L51&gt;0,L$4,"")</f>
        <v/>
      </c>
      <c r="M53" s="34" t="str">
        <f aca="false">IF(M51&gt;0,M$4,"")</f>
        <v/>
      </c>
      <c r="N53" s="34" t="str">
        <f aca="false">IF(N51&gt;0,N$4,"")</f>
        <v/>
      </c>
      <c r="O53" s="34" t="str">
        <f aca="false">IF(O51&gt;0,O$4,"")</f>
        <v/>
      </c>
      <c r="P53" s="34" t="str">
        <f aca="false">IF(P51&gt;0,P$4,"")</f>
        <v/>
      </c>
      <c r="Q53" s="34" t="str">
        <f aca="false">IF(Q51&gt;0,Q$4,"")</f>
        <v/>
      </c>
      <c r="R53" s="34" t="str">
        <f aca="false">IF(R51&gt;0,R$4,"")</f>
        <v/>
      </c>
      <c r="S53" s="34" t="str">
        <f aca="false">IF(S51&gt;0,S$4,"")</f>
        <v/>
      </c>
      <c r="T53" s="34" t="str">
        <f aca="false">IF(T51&gt;0,T$4,"")</f>
        <v/>
      </c>
      <c r="U53" s="34" t="str">
        <f aca="false">IF(U51&gt;0,U$4,"")</f>
        <v/>
      </c>
      <c r="V53" s="34" t="str">
        <f aca="false">IF(V51&gt;0,V$4,"")</f>
        <v/>
      </c>
      <c r="W53" s="34" t="str">
        <f aca="false">IF(W51&gt;0,W$4,"")</f>
        <v/>
      </c>
      <c r="X53" s="34" t="str">
        <f aca="false">IF(X51&gt;0,X$4,"")</f>
        <v/>
      </c>
      <c r="Y53" s="34" t="str">
        <f aca="false">IF(Y51&gt;0,Y$4,"")</f>
        <v/>
      </c>
      <c r="Z53" s="34" t="str">
        <f aca="false">IF(Z51&gt;0,Z$4,"")</f>
        <v/>
      </c>
      <c r="AA53" s="34" t="str">
        <f aca="false">IF(AA51&gt;0,AA$4,"")</f>
        <v/>
      </c>
      <c r="AB53" s="34" t="str">
        <f aca="false">IF(AB51&gt;0,AB$4,"")</f>
        <v/>
      </c>
      <c r="AC53" s="34" t="str">
        <f aca="false">IF(AC51&gt;0,AC$4,"")</f>
        <v/>
      </c>
      <c r="AD53" s="34" t="str">
        <f aca="false">IF(AD51&gt;0,AD$4,"")</f>
        <v/>
      </c>
      <c r="AE53" s="34" t="str">
        <f aca="false">IF(AE51&gt;0,AE$4,"")</f>
        <v/>
      </c>
      <c r="AF53" s="34" t="str">
        <f aca="false">IF(AF51&gt;0,AF$4,"")</f>
        <v/>
      </c>
      <c r="AG53" s="34" t="n">
        <f aca="false">IF(AG51&gt;0,AG$4,"")</f>
        <v>31</v>
      </c>
      <c r="AH53" s="34" t="str">
        <f aca="false">IF(AH51&gt;0,AH$4,"")</f>
        <v/>
      </c>
      <c r="AI53" s="34" t="str">
        <f aca="false">IF(AI51&gt;0,AI$4,"")</f>
        <v/>
      </c>
      <c r="AJ53" s="34" t="str">
        <f aca="false">IF(AJ51&gt;0,AJ$4,"")</f>
        <v/>
      </c>
      <c r="AK53" s="34" t="str">
        <f aca="false">IF(AK51&gt;0,AK$4,"")</f>
        <v/>
      </c>
      <c r="AL53" s="34" t="str">
        <f aca="false">IF(AL51&gt;0,AL$4,"")</f>
        <v/>
      </c>
    </row>
    <row r="54" customFormat="false" ht="15" hidden="false" customHeight="false" outlineLevel="0" collapsed="false">
      <c r="A54" s="3" t="s">
        <v>153</v>
      </c>
      <c r="B54" s="3"/>
      <c r="C54" s="34" t="str">
        <f aca="false">IF(C52&gt;=0,C$4,"")</f>
        <v/>
      </c>
      <c r="D54" s="34" t="str">
        <f aca="false">IF(D52&gt;=0,D$4,"")</f>
        <v/>
      </c>
      <c r="E54" s="34" t="str">
        <f aca="false">IF(E52&gt;=0,E$4,"")</f>
        <v/>
      </c>
      <c r="F54" s="34" t="str">
        <f aca="false">IF(F52&gt;=0,F$4,"")</f>
        <v/>
      </c>
      <c r="G54" s="34" t="str">
        <f aca="false">IF(G52&gt;=0,G$4,"")</f>
        <v/>
      </c>
      <c r="H54" s="34" t="str">
        <f aca="false">IF(H52&gt;=0,H$4,"")</f>
        <v/>
      </c>
      <c r="I54" s="34" t="str">
        <f aca="false">IF(I52&gt;=0,I$4,"")</f>
        <v/>
      </c>
      <c r="J54" s="34" t="str">
        <f aca="false">IF(J52&gt;=0,J$4,"")</f>
        <v/>
      </c>
      <c r="K54" s="34" t="str">
        <f aca="false">IF(K52&gt;=0,K$4,"")</f>
        <v/>
      </c>
      <c r="L54" s="34" t="str">
        <f aca="false">IF(L52&gt;=0,L$4,"")</f>
        <v/>
      </c>
      <c r="M54" s="34" t="str">
        <f aca="false">IF(M52&gt;=0,M$4,"")</f>
        <v/>
      </c>
      <c r="N54" s="34" t="str">
        <f aca="false">IF(N52&gt;=0,N$4,"")</f>
        <v/>
      </c>
      <c r="O54" s="34" t="str">
        <f aca="false">IF(O52&gt;=0,O$4,"")</f>
        <v/>
      </c>
      <c r="P54" s="34" t="str">
        <f aca="false">IF(P52&gt;=0,P$4,"")</f>
        <v/>
      </c>
      <c r="Q54" s="34" t="str">
        <f aca="false">IF(Q52&gt;=0,Q$4,"")</f>
        <v/>
      </c>
      <c r="R54" s="34" t="str">
        <f aca="false">IF(R52&gt;=0,R$4,"")</f>
        <v/>
      </c>
      <c r="S54" s="34" t="str">
        <f aca="false">IF(S52&gt;=0,S$4,"")</f>
        <v/>
      </c>
      <c r="T54" s="34" t="str">
        <f aca="false">IF(T52&gt;=0,T$4,"")</f>
        <v/>
      </c>
      <c r="U54" s="34" t="str">
        <f aca="false">IF(U52&gt;=0,U$4,"")</f>
        <v/>
      </c>
      <c r="V54" s="34" t="str">
        <f aca="false">IF(V52&gt;=0,V$4,"")</f>
        <v/>
      </c>
      <c r="W54" s="34" t="str">
        <f aca="false">IF(W52&gt;=0,W$4,"")</f>
        <v/>
      </c>
      <c r="X54" s="34" t="str">
        <f aca="false">IF(X52&gt;=0,X$4,"")</f>
        <v/>
      </c>
      <c r="Y54" s="34" t="str">
        <f aca="false">IF(Y52&gt;=0,Y$4,"")</f>
        <v/>
      </c>
      <c r="Z54" s="34" t="str">
        <f aca="false">IF(Z52&gt;=0,Z$4,"")</f>
        <v/>
      </c>
      <c r="AA54" s="34" t="str">
        <f aca="false">IF(AA52&gt;=0,AA$4,"")</f>
        <v/>
      </c>
      <c r="AB54" s="34" t="str">
        <f aca="false">IF(AB52&gt;=0,AB$4,"")</f>
        <v/>
      </c>
      <c r="AC54" s="34" t="str">
        <f aca="false">IF(AC52&gt;=0,AC$4,"")</f>
        <v/>
      </c>
      <c r="AD54" s="34" t="str">
        <f aca="false">IF(AD52&gt;=0,AD$4,"")</f>
        <v/>
      </c>
      <c r="AE54" s="34" t="str">
        <f aca="false">IF(AE52&gt;=0,AE$4,"")</f>
        <v/>
      </c>
      <c r="AF54" s="34" t="str">
        <f aca="false">IF(AF52&gt;=0,AF$4,"")</f>
        <v/>
      </c>
      <c r="AG54" s="34" t="str">
        <f aca="false">IF(AG52&gt;=0,AG$4,"")</f>
        <v/>
      </c>
      <c r="AH54" s="34" t="str">
        <f aca="false">IF(AH52&gt;=0,AH$4,"")</f>
        <v/>
      </c>
      <c r="AI54" s="34" t="str">
        <f aca="false">IF(AI52&gt;=0,AI$4,"")</f>
        <v/>
      </c>
      <c r="AJ54" s="34" t="str">
        <f aca="false">IF(AJ52&gt;=0,AJ$4,"")</f>
        <v/>
      </c>
      <c r="AK54" s="34" t="str">
        <f aca="false">IF(AK52&gt;=0,AK$4,"")</f>
        <v/>
      </c>
      <c r="AL54" s="34" t="str">
        <f aca="false">IF(AL52&gt;=0,AL$4,"")</f>
        <v/>
      </c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customFormat="false" ht="15" hidden="false" customHeight="false" outlineLevel="0" collapsed="false">
      <c r="A57" s="4" t="s">
        <v>155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customFormat="false" ht="15" hidden="false" customHeight="false" outlineLevel="0" collapsed="false">
      <c r="A58" s="6" t="s">
        <v>134</v>
      </c>
      <c r="B58" s="3" t="s">
        <v>67</v>
      </c>
      <c r="C58" s="16" t="n">
        <f aca="false">CHOOSE(C$6,Допущения!$E$24,Допущения!$E$25,Допущения!$E$26)</f>
        <v>5</v>
      </c>
      <c r="D58" s="16" t="n">
        <f aca="false">CHOOSE(D$6,Допущения!$E$24,Допущения!$E$25,Допущения!$E$26)</f>
        <v>5</v>
      </c>
      <c r="E58" s="16" t="n">
        <f aca="false">CHOOSE(E$6,Допущения!$E$24,Допущения!$E$25,Допущения!$E$26)</f>
        <v>5</v>
      </c>
      <c r="F58" s="16" t="n">
        <f aca="false">CHOOSE(F$6,Допущения!$E$24,Допущения!$E$25,Допущения!$E$26)</f>
        <v>5</v>
      </c>
      <c r="G58" s="16" t="n">
        <f aca="false">CHOOSE(G$6,Допущения!$E$24,Допущения!$E$25,Допущения!$E$26)</f>
        <v>5</v>
      </c>
      <c r="H58" s="16" t="n">
        <f aca="false">CHOOSE(H$6,Допущения!$E$24,Допущения!$E$25,Допущения!$E$26)</f>
        <v>5</v>
      </c>
      <c r="I58" s="16" t="n">
        <f aca="false">CHOOSE(I$6,Допущения!$E$24,Допущения!$E$25,Допущения!$E$26)</f>
        <v>5</v>
      </c>
      <c r="J58" s="16" t="n">
        <f aca="false">CHOOSE(J$6,Допущения!$E$24,Допущения!$E$25,Допущения!$E$26)</f>
        <v>5</v>
      </c>
      <c r="K58" s="16" t="n">
        <f aca="false">CHOOSE(K$6,Допущения!$E$24,Допущения!$E$25,Допущения!$E$26)</f>
        <v>5</v>
      </c>
      <c r="L58" s="16" t="n">
        <f aca="false">CHOOSE(L$6,Допущения!$E$24,Допущения!$E$25,Допущения!$E$26)</f>
        <v>5</v>
      </c>
      <c r="M58" s="16" t="n">
        <f aca="false">CHOOSE(M$6,Допущения!$E$24,Допущения!$E$25,Допущения!$E$26)</f>
        <v>5</v>
      </c>
      <c r="N58" s="16" t="n">
        <f aca="false">CHOOSE(N$6,Допущения!$E$24,Допущения!$E$25,Допущения!$E$26)</f>
        <v>5</v>
      </c>
      <c r="O58" s="16" t="n">
        <f aca="false">CHOOSE(O$6,Допущения!$E$24,Допущения!$E$25,Допущения!$E$26)</f>
        <v>8</v>
      </c>
      <c r="P58" s="16" t="n">
        <f aca="false">CHOOSE(P$6,Допущения!$E$24,Допущения!$E$25,Допущения!$E$26)</f>
        <v>8</v>
      </c>
      <c r="Q58" s="16" t="n">
        <f aca="false">CHOOSE(Q$6,Допущения!$E$24,Допущения!$E$25,Допущения!$E$26)</f>
        <v>8</v>
      </c>
      <c r="R58" s="16" t="n">
        <f aca="false">CHOOSE(R$6,Допущения!$E$24,Допущения!$E$25,Допущения!$E$26)</f>
        <v>8</v>
      </c>
      <c r="S58" s="16" t="n">
        <f aca="false">CHOOSE(S$6,Допущения!$E$24,Допущения!$E$25,Допущения!$E$26)</f>
        <v>8</v>
      </c>
      <c r="T58" s="16" t="n">
        <f aca="false">CHOOSE(T$6,Допущения!$E$24,Допущения!$E$25,Допущения!$E$26)</f>
        <v>8</v>
      </c>
      <c r="U58" s="16" t="n">
        <f aca="false">CHOOSE(U$6,Допущения!$E$24,Допущения!$E$25,Допущения!$E$26)</f>
        <v>8</v>
      </c>
      <c r="V58" s="16" t="n">
        <f aca="false">CHOOSE(V$6,Допущения!$E$24,Допущения!$E$25,Допущения!$E$26)</f>
        <v>8</v>
      </c>
      <c r="W58" s="16" t="n">
        <f aca="false">CHOOSE(W$6,Допущения!$E$24,Допущения!$E$25,Допущения!$E$26)</f>
        <v>8</v>
      </c>
      <c r="X58" s="16" t="n">
        <f aca="false">CHOOSE(X$6,Допущения!$E$24,Допущения!$E$25,Допущения!$E$26)</f>
        <v>8</v>
      </c>
      <c r="Y58" s="16" t="n">
        <f aca="false">CHOOSE(Y$6,Допущения!$E$24,Допущения!$E$25,Допущения!$E$26)</f>
        <v>8</v>
      </c>
      <c r="Z58" s="16" t="n">
        <f aca="false">CHOOSE(Z$6,Допущения!$E$24,Допущения!$E$25,Допущения!$E$26)</f>
        <v>8</v>
      </c>
      <c r="AA58" s="16" t="n">
        <f aca="false">CHOOSE(AA$6,Допущения!$E$24,Допущения!$E$25,Допущения!$E$26)</f>
        <v>11</v>
      </c>
      <c r="AB58" s="16" t="n">
        <f aca="false">CHOOSE(AB$6,Допущения!$E$24,Допущения!$E$25,Допущения!$E$26)</f>
        <v>11</v>
      </c>
      <c r="AC58" s="16" t="n">
        <f aca="false">CHOOSE(AC$6,Допущения!$E$24,Допущения!$E$25,Допущения!$E$26)</f>
        <v>11</v>
      </c>
      <c r="AD58" s="16" t="n">
        <f aca="false">CHOOSE(AD$6,Допущения!$E$24,Допущения!$E$25,Допущения!$E$26)</f>
        <v>11</v>
      </c>
      <c r="AE58" s="16" t="n">
        <f aca="false">CHOOSE(AE$6,Допущения!$E$24,Допущения!$E$25,Допущения!$E$26)</f>
        <v>11</v>
      </c>
      <c r="AF58" s="16" t="n">
        <f aca="false">CHOOSE(AF$6,Допущения!$E$24,Допущения!$E$25,Допущения!$E$26)</f>
        <v>11</v>
      </c>
      <c r="AG58" s="16" t="n">
        <f aca="false">CHOOSE(AG$6,Допущения!$E$24,Допущения!$E$25,Допущения!$E$26)</f>
        <v>11</v>
      </c>
      <c r="AH58" s="16" t="n">
        <f aca="false">CHOOSE(AH$6,Допущения!$E$24,Допущения!$E$25,Допущения!$E$26)</f>
        <v>11</v>
      </c>
      <c r="AI58" s="16" t="n">
        <f aca="false">CHOOSE(AI$6,Допущения!$E$24,Допущения!$E$25,Допущения!$E$26)</f>
        <v>11</v>
      </c>
      <c r="AJ58" s="16" t="n">
        <f aca="false">CHOOSE(AJ$6,Допущения!$E$24,Допущения!$E$25,Допущения!$E$26)</f>
        <v>11</v>
      </c>
      <c r="AK58" s="16" t="n">
        <f aca="false">CHOOSE(AK$6,Допущения!$E$24,Допущения!$E$25,Допущения!$E$26)</f>
        <v>11</v>
      </c>
      <c r="AL58" s="16" t="n">
        <f aca="false">CHOOSE(AL$6,Допущения!$E$24,Допущения!$E$25,Допущения!$E$26)</f>
        <v>11</v>
      </c>
    </row>
    <row r="59" customFormat="false" ht="15" hidden="false" customHeight="false" outlineLevel="0" collapsed="false">
      <c r="A59" s="6" t="s">
        <v>135</v>
      </c>
      <c r="B59" s="3" t="s">
        <v>67</v>
      </c>
      <c r="C59" s="16" t="n">
        <f aca="false">0</f>
        <v>0</v>
      </c>
      <c r="D59" s="16" t="n">
        <f aca="false">C60*Допущения!$E$27</f>
        <v>0.175</v>
      </c>
      <c r="E59" s="16" t="n">
        <f aca="false">D60*Допущения!$E$27</f>
        <v>0.343875</v>
      </c>
      <c r="F59" s="16" t="n">
        <f aca="false">E60*Допущения!$E$27</f>
        <v>0.506839375</v>
      </c>
      <c r="G59" s="16" t="n">
        <f aca="false">F60*Допущения!$E$27</f>
        <v>0.664099996875</v>
      </c>
      <c r="H59" s="16" t="n">
        <f aca="false">G60*Допущения!$E$27</f>
        <v>0.815856496984375</v>
      </c>
      <c r="I59" s="16" t="n">
        <f aca="false">H60*Допущения!$E$27</f>
        <v>0.962301519589922</v>
      </c>
      <c r="J59" s="16" t="n">
        <f aca="false">I60*Допущения!$E$27</f>
        <v>1.10362096640427</v>
      </c>
      <c r="K59" s="16" t="n">
        <f aca="false">J60*Допущения!$E$27</f>
        <v>1.23999423258013</v>
      </c>
      <c r="L59" s="16" t="n">
        <f aca="false">K60*Допущения!$E$27</f>
        <v>1.37159443443982</v>
      </c>
      <c r="M59" s="16" t="n">
        <f aca="false">L60*Допущения!$E$27</f>
        <v>1.49858862923443</v>
      </c>
      <c r="N59" s="16" t="n">
        <f aca="false">M60*Допущения!$E$27</f>
        <v>1.62113802721122</v>
      </c>
      <c r="O59" s="16" t="n">
        <f aca="false">N60*Допущения!$E$27</f>
        <v>1.73939819625883</v>
      </c>
      <c r="P59" s="16" t="n">
        <f aca="false">O60*Допущения!$E$27</f>
        <v>1.95851925938977</v>
      </c>
      <c r="Q59" s="16" t="n">
        <f aca="false">P60*Допущения!$E$27</f>
        <v>2.16997108531113</v>
      </c>
      <c r="R59" s="16" t="n">
        <f aca="false">Q60*Допущения!$E$27</f>
        <v>2.37402209732524</v>
      </c>
      <c r="S59" s="16" t="n">
        <f aca="false">R60*Допущения!$E$27</f>
        <v>2.57093132391886</v>
      </c>
      <c r="T59" s="16" t="n">
        <f aca="false">S60*Допущения!$E$27</f>
        <v>2.7609487275817</v>
      </c>
      <c r="U59" s="16" t="n">
        <f aca="false">T60*Допущения!$E$27</f>
        <v>2.94431552211634</v>
      </c>
      <c r="V59" s="16" t="n">
        <f aca="false">U60*Допущения!$E$27</f>
        <v>3.12126447884226</v>
      </c>
      <c r="W59" s="16" t="n">
        <f aca="false">V60*Допущения!$E$27</f>
        <v>3.29202022208279</v>
      </c>
      <c r="X59" s="16" t="n">
        <f aca="false">W60*Допущения!$E$27</f>
        <v>3.45679951430989</v>
      </c>
      <c r="Y59" s="16" t="n">
        <f aca="false">X60*Допущения!$E$27</f>
        <v>3.61581153130904</v>
      </c>
      <c r="Z59" s="16" t="n">
        <f aca="false">Y60*Допущения!$E$27</f>
        <v>3.76925812771323</v>
      </c>
      <c r="AA59" s="16" t="n">
        <f aca="false">Z60*Допущения!$E$27</f>
        <v>3.91733409324326</v>
      </c>
      <c r="AB59" s="16" t="n">
        <f aca="false">AA60*Допущения!$E$27</f>
        <v>4.16522739997975</v>
      </c>
      <c r="AC59" s="16" t="n">
        <f aca="false">AB60*Допущения!$E$27</f>
        <v>4.40444444098046</v>
      </c>
      <c r="AD59" s="16" t="n">
        <f aca="false">AC60*Допущения!$E$27</f>
        <v>4.63528888554614</v>
      </c>
      <c r="AE59" s="16" t="n">
        <f aca="false">AD60*Допущения!$E$27</f>
        <v>4.85805377455203</v>
      </c>
      <c r="AF59" s="16" t="n">
        <f aca="false">AE60*Допущения!$E$27</f>
        <v>5.07302189244271</v>
      </c>
      <c r="AG59" s="16" t="n">
        <f aca="false">AF60*Допущения!$E$27</f>
        <v>5.28046612620721</v>
      </c>
      <c r="AH59" s="16" t="n">
        <f aca="false">AG60*Допущения!$E$27</f>
        <v>5.48064981178996</v>
      </c>
      <c r="AI59" s="16" t="n">
        <f aca="false">AH60*Допущения!$E$27</f>
        <v>5.67382706837731</v>
      </c>
      <c r="AJ59" s="16" t="n">
        <f aca="false">AI60*Допущения!$E$27</f>
        <v>5.8602431209841</v>
      </c>
      <c r="AK59" s="16" t="n">
        <f aca="false">AJ60*Допущения!$E$27</f>
        <v>6.04013461174966</v>
      </c>
      <c r="AL59" s="16" t="n">
        <f aca="false">AK60*Допущения!$E$27</f>
        <v>6.21372990033842</v>
      </c>
    </row>
    <row r="60" customFormat="false" ht="15" hidden="false" customHeight="false" outlineLevel="0" collapsed="false">
      <c r="A60" s="6" t="s">
        <v>136</v>
      </c>
      <c r="B60" s="3" t="s">
        <v>67</v>
      </c>
      <c r="C60" s="16" t="n">
        <f aca="false">C58</f>
        <v>5</v>
      </c>
      <c r="D60" s="16" t="n">
        <f aca="false">C60+D58-D59</f>
        <v>9.825</v>
      </c>
      <c r="E60" s="16" t="n">
        <f aca="false">D60+E58-E59</f>
        <v>14.481125</v>
      </c>
      <c r="F60" s="16" t="n">
        <f aca="false">E60+F58-F59</f>
        <v>18.974285625</v>
      </c>
      <c r="G60" s="16" t="n">
        <f aca="false">F60+G58-G59</f>
        <v>23.310185628125</v>
      </c>
      <c r="H60" s="16" t="n">
        <f aca="false">G60+H58-H59</f>
        <v>27.4943291311406</v>
      </c>
      <c r="I60" s="16" t="n">
        <f aca="false">H60+I58-I59</f>
        <v>31.5320276115507</v>
      </c>
      <c r="J60" s="16" t="n">
        <f aca="false">I60+J58-J59</f>
        <v>35.4284066451464</v>
      </c>
      <c r="K60" s="16" t="n">
        <f aca="false">J60+K58-K59</f>
        <v>39.1884124125663</v>
      </c>
      <c r="L60" s="16" t="n">
        <f aca="false">K60+L58-L59</f>
        <v>42.8168179781265</v>
      </c>
      <c r="M60" s="16" t="n">
        <f aca="false">L60+M58-M59</f>
        <v>46.3182293488921</v>
      </c>
      <c r="N60" s="16" t="n">
        <f aca="false">M60+N58-N59</f>
        <v>49.6970913216808</v>
      </c>
      <c r="O60" s="16" t="n">
        <f aca="false">N60+O58-O59</f>
        <v>55.957693125422</v>
      </c>
      <c r="P60" s="16" t="n">
        <f aca="false">O60+P58-P59</f>
        <v>61.9991738660322</v>
      </c>
      <c r="Q60" s="16" t="n">
        <f aca="false">P60+Q58-Q59</f>
        <v>67.8292027807211</v>
      </c>
      <c r="R60" s="16" t="n">
        <f aca="false">Q60+R58-R59</f>
        <v>73.4551806833959</v>
      </c>
      <c r="S60" s="16" t="n">
        <f aca="false">R60+S58-S59</f>
        <v>78.884249359477</v>
      </c>
      <c r="T60" s="16" t="n">
        <f aca="false">S60+T58-T59</f>
        <v>84.1233006318953</v>
      </c>
      <c r="U60" s="16" t="n">
        <f aca="false">T60+U58-U59</f>
        <v>89.178985109779</v>
      </c>
      <c r="V60" s="16" t="n">
        <f aca="false">U60+V58-V59</f>
        <v>94.0577206309367</v>
      </c>
      <c r="W60" s="16" t="n">
        <f aca="false">V60+W58-W59</f>
        <v>98.7657004088539</v>
      </c>
      <c r="X60" s="16" t="n">
        <f aca="false">W60+X58-X59</f>
        <v>103.308900894544</v>
      </c>
      <c r="Y60" s="16" t="n">
        <f aca="false">X60+Y58-Y59</f>
        <v>107.693089363235</v>
      </c>
      <c r="Z60" s="16" t="n">
        <f aca="false">Y60+Z58-Z59</f>
        <v>111.923831235522</v>
      </c>
      <c r="AA60" s="16" t="n">
        <f aca="false">Z60+AA58-AA59</f>
        <v>119.006497142279</v>
      </c>
      <c r="AB60" s="16" t="n">
        <f aca="false">AA60+AB58-AB59</f>
        <v>125.841269742299</v>
      </c>
      <c r="AC60" s="16" t="n">
        <f aca="false">AB60+AC58-AC59</f>
        <v>132.436825301318</v>
      </c>
      <c r="AD60" s="16" t="n">
        <f aca="false">AC60+AD58-AD59</f>
        <v>138.801536415772</v>
      </c>
      <c r="AE60" s="16" t="n">
        <f aca="false">AD60+AE58-AE59</f>
        <v>144.94348264122</v>
      </c>
      <c r="AF60" s="16" t="n">
        <f aca="false">AE60+AF58-AF59</f>
        <v>150.870460748777</v>
      </c>
      <c r="AG60" s="16" t="n">
        <f aca="false">AF60+AG58-AG59</f>
        <v>156.58999462257</v>
      </c>
      <c r="AH60" s="16" t="n">
        <f aca="false">AG60+AH58-AH59</f>
        <v>162.10934481078</v>
      </c>
      <c r="AI60" s="16" t="n">
        <f aca="false">AH60+AI58-AI59</f>
        <v>167.435517742403</v>
      </c>
      <c r="AJ60" s="16" t="n">
        <f aca="false">AI60+AJ58-AJ59</f>
        <v>172.575274621419</v>
      </c>
      <c r="AK60" s="16" t="n">
        <f aca="false">AJ60+AK58-AK59</f>
        <v>177.535140009669</v>
      </c>
      <c r="AL60" s="16" t="n">
        <f aca="false">AK60+AL58-AL59</f>
        <v>182.321410109331</v>
      </c>
    </row>
    <row r="61" customFormat="false" ht="15" hidden="false" customHeight="false" outlineLevel="0" collapsed="false">
      <c r="A61" s="6" t="s">
        <v>137</v>
      </c>
      <c r="B61" s="3" t="s">
        <v>67</v>
      </c>
      <c r="C61" s="16" t="n">
        <f aca="false">C60*Допущения!$E$28*C$7</f>
        <v>6</v>
      </c>
      <c r="D61" s="16" t="n">
        <f aca="false">D60*Допущения!$E$28*D$7</f>
        <v>8.8425</v>
      </c>
      <c r="E61" s="16" t="n">
        <f aca="false">E60*Допущения!$E$28*E$7</f>
        <v>13.0330125</v>
      </c>
      <c r="F61" s="16" t="n">
        <f aca="false">F60*Допущения!$E$28*F$7</f>
        <v>28.4614284375</v>
      </c>
      <c r="G61" s="16" t="n">
        <f aca="false">G60*Допущения!$E$28*G$7</f>
        <v>38.4618062864063</v>
      </c>
      <c r="H61" s="16" t="n">
        <f aca="false">H60*Допущения!$E$28*H$7</f>
        <v>49.4897924360531</v>
      </c>
      <c r="I61" s="16" t="n">
        <f aca="false">I60*Допущения!$E$28*I$7</f>
        <v>61.4874538425239</v>
      </c>
      <c r="J61" s="16" t="n">
        <f aca="false">J60*Допущения!$E$28*J$7</f>
        <v>42.5140879741757</v>
      </c>
      <c r="K61" s="16" t="n">
        <f aca="false">K60*Допущения!$E$28*K$7</f>
        <v>52.9043567569645</v>
      </c>
      <c r="L61" s="16" t="n">
        <f aca="false">L60*Допущения!$E$28*L$7</f>
        <v>64.2252269671897</v>
      </c>
      <c r="M61" s="16" t="n">
        <f aca="false">M60*Допущения!$E$28*M$7</f>
        <v>69.4773440233381</v>
      </c>
      <c r="N61" s="16" t="n">
        <f aca="false">N60*Допущения!$E$28*N$7</f>
        <v>74.5456369825213</v>
      </c>
      <c r="O61" s="16" t="n">
        <f aca="false">O60*Допущения!$E$28*O$7</f>
        <v>67.1492317505064</v>
      </c>
      <c r="P61" s="16" t="n">
        <f aca="false">P60*Допущения!$E$28*P$7</f>
        <v>55.799256479429</v>
      </c>
      <c r="Q61" s="16" t="n">
        <f aca="false">Q60*Допущения!$E$28*Q$7</f>
        <v>61.046282502649</v>
      </c>
      <c r="R61" s="16" t="n">
        <f aca="false">R60*Допущения!$E$28*R$7</f>
        <v>110.182771025094</v>
      </c>
      <c r="S61" s="16" t="n">
        <f aca="false">S60*Допущения!$E$28*S$7</f>
        <v>130.159011443137</v>
      </c>
      <c r="T61" s="16" t="n">
        <f aca="false">T60*Допущения!$E$28*T$7</f>
        <v>151.421941137412</v>
      </c>
      <c r="U61" s="16" t="n">
        <f aca="false">U60*Допущения!$E$28*U$7</f>
        <v>173.899020964069</v>
      </c>
      <c r="V61" s="16" t="n">
        <f aca="false">V60*Допущения!$E$28*V$7</f>
        <v>112.869264757124</v>
      </c>
      <c r="W61" s="16" t="n">
        <f aca="false">W60*Допущения!$E$28*W$7</f>
        <v>133.333695551953</v>
      </c>
      <c r="X61" s="16" t="n">
        <f aca="false">X60*Допущения!$E$28*X$7</f>
        <v>154.963351341816</v>
      </c>
      <c r="Y61" s="16" t="n">
        <f aca="false">Y60*Допущения!$E$28*Y$7</f>
        <v>161.539634044853</v>
      </c>
      <c r="Z61" s="16" t="n">
        <f aca="false">Z60*Допущения!$E$28*Z$7</f>
        <v>167.885746853283</v>
      </c>
      <c r="AA61" s="16" t="n">
        <f aca="false">AA60*Допущения!$E$28*AA$7</f>
        <v>142.807796570734</v>
      </c>
      <c r="AB61" s="16" t="n">
        <f aca="false">AB60*Допущения!$E$28*AB$7</f>
        <v>113.257142768069</v>
      </c>
      <c r="AC61" s="16" t="n">
        <f aca="false">AC60*Допущения!$E$28*AC$7</f>
        <v>119.193142771186</v>
      </c>
      <c r="AD61" s="16" t="n">
        <f aca="false">AD60*Допущения!$E$28*AD$7</f>
        <v>208.202304623658</v>
      </c>
      <c r="AE61" s="16" t="n">
        <f aca="false">AE60*Допущения!$E$28*AE$7</f>
        <v>239.156746358013</v>
      </c>
      <c r="AF61" s="16" t="n">
        <f aca="false">AF60*Допущения!$E$28*AF$7</f>
        <v>271.566829347799</v>
      </c>
      <c r="AG61" s="16" t="n">
        <f aca="false">AG60*Допущения!$E$28*AG$7</f>
        <v>305.350489514012</v>
      </c>
      <c r="AH61" s="16" t="n">
        <f aca="false">AH60*Допущения!$E$28*AH$7</f>
        <v>194.531213772936</v>
      </c>
      <c r="AI61" s="16" t="n">
        <f aca="false">AI60*Допущения!$E$28*AI$7</f>
        <v>226.037948952244</v>
      </c>
      <c r="AJ61" s="16" t="n">
        <f aca="false">AJ60*Допущения!$E$28*AJ$7</f>
        <v>258.862911932128</v>
      </c>
      <c r="AK61" s="16" t="n">
        <f aca="false">AK60*Допущения!$E$28*AK$7</f>
        <v>266.302710014504</v>
      </c>
      <c r="AL61" s="16" t="n">
        <f aca="false">AL60*Допущения!$E$28*AL$7</f>
        <v>273.482115163996</v>
      </c>
    </row>
    <row r="62" customFormat="false" ht="15" hidden="false" customHeight="false" outlineLevel="0" collapsed="false">
      <c r="A62" s="6" t="s">
        <v>10</v>
      </c>
      <c r="B62" s="3" t="s">
        <v>67</v>
      </c>
      <c r="C62" s="12" t="n">
        <f aca="false">C61*Допущения!$E$29</f>
        <v>900</v>
      </c>
      <c r="D62" s="12" t="n">
        <f aca="false">D61*Допущения!$E$29</f>
        <v>1326.375</v>
      </c>
      <c r="E62" s="12" t="n">
        <f aca="false">E61*Допущения!$E$29</f>
        <v>1954.951875</v>
      </c>
      <c r="F62" s="12" t="n">
        <f aca="false">F61*Допущения!$E$29</f>
        <v>4269.214265625</v>
      </c>
      <c r="G62" s="12" t="n">
        <f aca="false">G61*Допущения!$E$29</f>
        <v>5769.27094296094</v>
      </c>
      <c r="H62" s="12" t="n">
        <f aca="false">H61*Допущения!$E$29</f>
        <v>7423.46886540797</v>
      </c>
      <c r="I62" s="12" t="n">
        <f aca="false">I61*Допущения!$E$29</f>
        <v>9223.11807637858</v>
      </c>
      <c r="J62" s="12" t="n">
        <f aca="false">J61*Допущения!$E$29</f>
        <v>6377.11319612636</v>
      </c>
      <c r="K62" s="12" t="n">
        <f aca="false">K61*Допущения!$E$29</f>
        <v>7935.65351354468</v>
      </c>
      <c r="L62" s="12" t="n">
        <f aca="false">L61*Допущения!$E$29</f>
        <v>9633.78404507846</v>
      </c>
      <c r="M62" s="12" t="n">
        <f aca="false">M61*Допущения!$E$29</f>
        <v>10421.6016035007</v>
      </c>
      <c r="N62" s="12" t="n">
        <f aca="false">N61*Допущения!$E$29</f>
        <v>11181.8455473782</v>
      </c>
      <c r="O62" s="12" t="n">
        <f aca="false">O61*Допущения!$E$29</f>
        <v>10072.384762576</v>
      </c>
      <c r="P62" s="12" t="n">
        <f aca="false">P61*Допущения!$E$29</f>
        <v>8369.88847191435</v>
      </c>
      <c r="Q62" s="12" t="n">
        <f aca="false">Q61*Допущения!$E$29</f>
        <v>9156.94237539735</v>
      </c>
      <c r="R62" s="12" t="n">
        <f aca="false">R61*Допущения!$E$29</f>
        <v>16527.4156537641</v>
      </c>
      <c r="S62" s="12" t="n">
        <f aca="false">S61*Допущения!$E$29</f>
        <v>19523.8517164706</v>
      </c>
      <c r="T62" s="12" t="n">
        <f aca="false">T61*Допущения!$E$29</f>
        <v>22713.2911706117</v>
      </c>
      <c r="U62" s="12" t="n">
        <f aca="false">U61*Допущения!$E$29</f>
        <v>26084.8531446104</v>
      </c>
      <c r="V62" s="12" t="n">
        <f aca="false">V61*Допущения!$E$29</f>
        <v>16930.3897135686</v>
      </c>
      <c r="W62" s="12" t="n">
        <f aca="false">W61*Допущения!$E$29</f>
        <v>20000.0543327929</v>
      </c>
      <c r="X62" s="12" t="n">
        <f aca="false">X61*Допущения!$E$29</f>
        <v>23244.5027012724</v>
      </c>
      <c r="Y62" s="12" t="n">
        <f aca="false">Y61*Допущения!$E$29</f>
        <v>24230.9451067279</v>
      </c>
      <c r="Z62" s="12" t="n">
        <f aca="false">Z61*Допущения!$E$29</f>
        <v>25182.8620279924</v>
      </c>
      <c r="AA62" s="12" t="n">
        <f aca="false">AA61*Допущения!$E$29</f>
        <v>21421.1694856101</v>
      </c>
      <c r="AB62" s="12" t="n">
        <f aca="false">AB61*Допущения!$E$29</f>
        <v>16988.5714152103</v>
      </c>
      <c r="AC62" s="12" t="n">
        <f aca="false">AC61*Допущения!$E$29</f>
        <v>17878.971415678</v>
      </c>
      <c r="AD62" s="12" t="n">
        <f aca="false">AD61*Допущения!$E$29</f>
        <v>31230.3456935487</v>
      </c>
      <c r="AE62" s="12" t="n">
        <f aca="false">AE61*Допущения!$E$29</f>
        <v>35873.511953702</v>
      </c>
      <c r="AF62" s="12" t="n">
        <f aca="false">AF61*Допущения!$E$29</f>
        <v>40735.0244021699</v>
      </c>
      <c r="AG62" s="12" t="n">
        <f aca="false">AG61*Допущения!$E$29</f>
        <v>45802.5734271018</v>
      </c>
      <c r="AH62" s="12" t="n">
        <f aca="false">AH61*Допущения!$E$29</f>
        <v>29179.6820659404</v>
      </c>
      <c r="AI62" s="12" t="n">
        <f aca="false">AI61*Допущения!$E$29</f>
        <v>33905.6923428366</v>
      </c>
      <c r="AJ62" s="12" t="n">
        <f aca="false">AJ61*Допущения!$E$29</f>
        <v>38829.4367898192</v>
      </c>
      <c r="AK62" s="12" t="n">
        <f aca="false">AK61*Допущения!$E$29</f>
        <v>39945.4065021756</v>
      </c>
      <c r="AL62" s="12" t="n">
        <f aca="false">AL61*Допущения!$E$29</f>
        <v>41022.3172745994</v>
      </c>
    </row>
    <row r="63" customFormat="false" ht="15" hidden="false" customHeight="false" outlineLevel="0" collapsed="false">
      <c r="A63" s="6" t="s">
        <v>138</v>
      </c>
      <c r="B63" s="3" t="s">
        <v>67</v>
      </c>
      <c r="C63" s="12" t="n">
        <f aca="false">C62*(1-Допущения!$C$12)</f>
        <v>810</v>
      </c>
      <c r="D63" s="12" t="n">
        <f aca="false">D62*(1-Допущения!$C$12)</f>
        <v>1193.7375</v>
      </c>
      <c r="E63" s="12" t="n">
        <f aca="false">E62*(1-Допущения!$C$12)</f>
        <v>1759.4566875</v>
      </c>
      <c r="F63" s="12" t="n">
        <f aca="false">F62*(1-Допущения!$C$12)</f>
        <v>3842.2928390625</v>
      </c>
      <c r="G63" s="12" t="n">
        <f aca="false">G62*(1-Допущения!$C$12)</f>
        <v>5192.34384866485</v>
      </c>
      <c r="H63" s="12" t="n">
        <f aca="false">H62*(1-Допущения!$C$12)</f>
        <v>6681.12197886717</v>
      </c>
      <c r="I63" s="12" t="n">
        <f aca="false">I62*(1-Допущения!$C$12)</f>
        <v>8300.80626874073</v>
      </c>
      <c r="J63" s="12" t="n">
        <f aca="false">J62*(1-Допущения!$C$12)</f>
        <v>5739.40187651372</v>
      </c>
      <c r="K63" s="12" t="n">
        <f aca="false">K62*(1-Допущения!$C$12)</f>
        <v>7142.08816219021</v>
      </c>
      <c r="L63" s="12" t="n">
        <f aca="false">L62*(1-Допущения!$C$12)</f>
        <v>8670.40564057061</v>
      </c>
      <c r="M63" s="12" t="n">
        <f aca="false">M62*(1-Допущения!$C$12)</f>
        <v>9379.44144315065</v>
      </c>
      <c r="N63" s="12" t="n">
        <f aca="false">N62*(1-Допущения!$C$12)</f>
        <v>10063.6609926404</v>
      </c>
      <c r="O63" s="12" t="n">
        <f aca="false">O62*(1-Допущения!$C$12)</f>
        <v>9065.14628631837</v>
      </c>
      <c r="P63" s="12" t="n">
        <f aca="false">P62*(1-Допущения!$C$12)</f>
        <v>7532.89962472292</v>
      </c>
      <c r="Q63" s="12" t="n">
        <f aca="false">Q62*(1-Допущения!$C$12)</f>
        <v>8241.24813785761</v>
      </c>
      <c r="R63" s="12" t="n">
        <f aca="false">R62*(1-Допущения!$C$12)</f>
        <v>14874.6740883877</v>
      </c>
      <c r="S63" s="12" t="n">
        <f aca="false">S62*(1-Допущения!$C$12)</f>
        <v>17571.4665448235</v>
      </c>
      <c r="T63" s="12" t="n">
        <f aca="false">T62*(1-Допущения!$C$12)</f>
        <v>20441.9620535506</v>
      </c>
      <c r="U63" s="12" t="n">
        <f aca="false">U62*(1-Допущения!$C$12)</f>
        <v>23476.3678301493</v>
      </c>
      <c r="V63" s="12" t="n">
        <f aca="false">V62*(1-Допущения!$C$12)</f>
        <v>15237.3507422118</v>
      </c>
      <c r="W63" s="12" t="n">
        <f aca="false">W62*(1-Допущения!$C$12)</f>
        <v>18000.0488995136</v>
      </c>
      <c r="X63" s="12" t="n">
        <f aca="false">X62*(1-Допущения!$C$12)</f>
        <v>20920.0524311452</v>
      </c>
      <c r="Y63" s="12" t="n">
        <f aca="false">Y62*(1-Допущения!$C$12)</f>
        <v>21807.8505960551</v>
      </c>
      <c r="Z63" s="12" t="n">
        <f aca="false">Z62*(1-Допущения!$C$12)</f>
        <v>22664.5758251932</v>
      </c>
      <c r="AA63" s="12" t="n">
        <f aca="false">AA62*(1-Допущения!$C$12)</f>
        <v>19279.0525370491</v>
      </c>
      <c r="AB63" s="12" t="n">
        <f aca="false">AB62*(1-Допущения!$C$12)</f>
        <v>15289.7142736893</v>
      </c>
      <c r="AC63" s="12" t="n">
        <f aca="false">AC62*(1-Допущения!$C$12)</f>
        <v>16091.0742741102</v>
      </c>
      <c r="AD63" s="12" t="n">
        <f aca="false">AD62*(1-Допущения!$C$12)</f>
        <v>28107.3111241939</v>
      </c>
      <c r="AE63" s="12" t="n">
        <f aca="false">AE62*(1-Допущения!$C$12)</f>
        <v>32286.1607583318</v>
      </c>
      <c r="AF63" s="12" t="n">
        <f aca="false">AF62*(1-Допущения!$C$12)</f>
        <v>36661.5219619529</v>
      </c>
      <c r="AG63" s="12" t="n">
        <f aca="false">AG62*(1-Допущения!$C$12)</f>
        <v>41222.3160843916</v>
      </c>
      <c r="AH63" s="12" t="n">
        <f aca="false">AH62*(1-Допущения!$C$12)</f>
        <v>26261.7138593464</v>
      </c>
      <c r="AI63" s="12" t="n">
        <f aca="false">AI62*(1-Допущения!$C$12)</f>
        <v>30515.1231085529</v>
      </c>
      <c r="AJ63" s="12" t="n">
        <f aca="false">AJ62*(1-Допущения!$C$12)</f>
        <v>34946.4931108373</v>
      </c>
      <c r="AK63" s="12" t="n">
        <f aca="false">AK62*(1-Допущения!$C$12)</f>
        <v>35950.865851958</v>
      </c>
      <c r="AL63" s="12" t="n">
        <f aca="false">AL62*(1-Допущения!$C$12)</f>
        <v>36920.0855471395</v>
      </c>
    </row>
    <row r="64" customFormat="false" ht="15" hidden="false" customHeight="false" outlineLevel="0" collapsed="false">
      <c r="A64" s="6" t="s">
        <v>139</v>
      </c>
      <c r="B64" s="3" t="s">
        <v>70</v>
      </c>
      <c r="C64" s="12" t="n">
        <f aca="false">C63*Допущения!$E$22</f>
        <v>5670000</v>
      </c>
      <c r="D64" s="12" t="n">
        <f aca="false">D63*Допущения!$E$22</f>
        <v>8356162.5</v>
      </c>
      <c r="E64" s="12" t="n">
        <f aca="false">E63*Допущения!$E$22</f>
        <v>12316196.8125</v>
      </c>
      <c r="F64" s="12" t="n">
        <f aca="false">F63*Допущения!$E$22</f>
        <v>26896049.8734375</v>
      </c>
      <c r="G64" s="12" t="n">
        <f aca="false">G63*Допущения!$E$22</f>
        <v>36346406.9406539</v>
      </c>
      <c r="H64" s="12" t="n">
        <f aca="false">H63*Допущения!$E$22</f>
        <v>46767853.8520702</v>
      </c>
      <c r="I64" s="12" t="n">
        <f aca="false">I63*Допущения!$E$22</f>
        <v>58105643.8811851</v>
      </c>
      <c r="J64" s="12" t="n">
        <f aca="false">J63*Допущения!$E$22</f>
        <v>40175813.1355961</v>
      </c>
      <c r="K64" s="12" t="n">
        <f aca="false">K63*Допущения!$E$22</f>
        <v>49994617.1353315</v>
      </c>
      <c r="L64" s="12" t="n">
        <f aca="false">L63*Допущения!$E$22</f>
        <v>60692839.4839943</v>
      </c>
      <c r="M64" s="12" t="n">
        <f aca="false">M63*Допущения!$E$22</f>
        <v>65656090.1020545</v>
      </c>
      <c r="N64" s="12" t="n">
        <f aca="false">N63*Допущения!$E$22</f>
        <v>70445626.9484826</v>
      </c>
      <c r="O64" s="12" t="n">
        <f aca="false">O63*Допущения!$E$22</f>
        <v>63456024.0042286</v>
      </c>
      <c r="P64" s="12" t="n">
        <f aca="false">P63*Допущения!$E$22</f>
        <v>52730297.3730604</v>
      </c>
      <c r="Q64" s="12" t="n">
        <f aca="false">Q63*Допущения!$E$22</f>
        <v>57688736.9650033</v>
      </c>
      <c r="R64" s="12" t="n">
        <f aca="false">R63*Допущения!$E$22</f>
        <v>104122718.618714</v>
      </c>
      <c r="S64" s="12" t="n">
        <f aca="false">S63*Допущения!$E$22</f>
        <v>123000265.813765</v>
      </c>
      <c r="T64" s="12" t="n">
        <f aca="false">T63*Допущения!$E$22</f>
        <v>143093734.374854</v>
      </c>
      <c r="U64" s="12" t="n">
        <f aca="false">U63*Допущения!$E$22</f>
        <v>164334574.811045</v>
      </c>
      <c r="V64" s="12" t="n">
        <f aca="false">V63*Допущения!$E$22</f>
        <v>106661455.195482</v>
      </c>
      <c r="W64" s="12" t="n">
        <f aca="false">W63*Допущения!$E$22</f>
        <v>126000342.296595</v>
      </c>
      <c r="X64" s="12" t="n">
        <f aca="false">X63*Допущения!$E$22</f>
        <v>146440367.018016</v>
      </c>
      <c r="Y64" s="12" t="n">
        <f aca="false">Y63*Допущения!$E$22</f>
        <v>152654954.172386</v>
      </c>
      <c r="Z64" s="12" t="n">
        <f aca="false">Z63*Допущения!$E$22</f>
        <v>158652030.776352</v>
      </c>
      <c r="AA64" s="12" t="n">
        <f aca="false">AA63*Допущения!$E$22</f>
        <v>134953367.759344</v>
      </c>
      <c r="AB64" s="12" t="n">
        <f aca="false">AB63*Допущения!$E$22</f>
        <v>107027999.915825</v>
      </c>
      <c r="AC64" s="12" t="n">
        <f aca="false">AC63*Допущения!$E$22</f>
        <v>112637519.918771</v>
      </c>
      <c r="AD64" s="12" t="n">
        <f aca="false">AD63*Допущения!$E$22</f>
        <v>196751177.869357</v>
      </c>
      <c r="AE64" s="12" t="n">
        <f aca="false">AE63*Допущения!$E$22</f>
        <v>226003125.308323</v>
      </c>
      <c r="AF64" s="12" t="n">
        <f aca="false">AF63*Допущения!$E$22</f>
        <v>256630653.73367</v>
      </c>
      <c r="AG64" s="12" t="n">
        <f aca="false">AG63*Допущения!$E$22</f>
        <v>288556212.590741</v>
      </c>
      <c r="AH64" s="12" t="n">
        <f aca="false">AH63*Допущения!$E$22</f>
        <v>183831997.015425</v>
      </c>
      <c r="AI64" s="12" t="n">
        <f aca="false">AI63*Допущения!$E$22</f>
        <v>213605861.759871</v>
      </c>
      <c r="AJ64" s="12" t="n">
        <f aca="false">AJ63*Допущения!$E$22</f>
        <v>244625451.775861</v>
      </c>
      <c r="AK64" s="12" t="n">
        <f aca="false">AK63*Допущения!$E$22</f>
        <v>251656060.963706</v>
      </c>
      <c r="AL64" s="12" t="n">
        <f aca="false">AL63*Допущения!$E$22</f>
        <v>258440598.829976</v>
      </c>
    </row>
    <row r="65" customFormat="false" ht="15" hidden="false" customHeight="false" outlineLevel="0" collapsed="false">
      <c r="A65" s="6" t="s">
        <v>140</v>
      </c>
      <c r="B65" s="3" t="s">
        <v>70</v>
      </c>
      <c r="C65" s="12" t="n">
        <f aca="false">C64*(Допущения!$C$6+Допущения!$C$7)*(1-Допущения!$C$13)</f>
        <v>274995</v>
      </c>
      <c r="D65" s="12" t="n">
        <f aca="false">D64*(Допущения!$C$6+Допущения!$C$7)*(1-Допущения!$C$13)</f>
        <v>405273.88125</v>
      </c>
      <c r="E65" s="12" t="n">
        <f aca="false">E64*(Допущения!$C$6+Допущения!$C$7)*(1-Допущения!$C$13)</f>
        <v>597335.54540625</v>
      </c>
      <c r="F65" s="12" t="n">
        <f aca="false">F64*(Допущения!$C$6+Допущения!$C$7)*(1-Допущения!$C$13)</f>
        <v>1304458.41886172</v>
      </c>
      <c r="G65" s="12" t="n">
        <f aca="false">G64*(Допущения!$C$6+Допущения!$C$7)*(1-Допущения!$C$13)</f>
        <v>1762800.73662172</v>
      </c>
      <c r="H65" s="12" t="n">
        <f aca="false">H64*(Допущения!$C$6+Допущения!$C$7)*(1-Допущения!$C$13)</f>
        <v>2268240.91182541</v>
      </c>
      <c r="I65" s="12" t="n">
        <f aca="false">I64*(Допущения!$C$6+Допущения!$C$7)*(1-Допущения!$C$13)</f>
        <v>2818123.72823748</v>
      </c>
      <c r="J65" s="12" t="n">
        <f aca="false">J64*(Допущения!$C$6+Допущения!$C$7)*(1-Допущения!$C$13)</f>
        <v>1948526.93707641</v>
      </c>
      <c r="K65" s="12" t="n">
        <f aca="false">K64*(Допущения!$C$6+Допущения!$C$7)*(1-Допущения!$C$13)</f>
        <v>2424738.93106358</v>
      </c>
      <c r="L65" s="12" t="n">
        <f aca="false">L64*(Допущения!$C$6+Допущения!$C$7)*(1-Допущения!$C$13)</f>
        <v>2943602.71497372</v>
      </c>
      <c r="M65" s="12" t="n">
        <f aca="false">M64*(Допущения!$C$6+Допущения!$C$7)*(1-Допущения!$C$13)</f>
        <v>3184320.36994964</v>
      </c>
      <c r="N65" s="12" t="n">
        <f aca="false">N64*(Допущения!$C$6+Допущения!$C$7)*(1-Допущения!$C$13)</f>
        <v>3416612.90700141</v>
      </c>
      <c r="O65" s="12" t="n">
        <f aca="false">O64*(Допущения!$C$6+Допущения!$C$7)*(1-Допущения!$C$13)</f>
        <v>3077617.16420509</v>
      </c>
      <c r="P65" s="12" t="n">
        <f aca="false">P64*(Допущения!$C$6+Допущения!$C$7)*(1-Допущения!$C$13)</f>
        <v>2557419.42259343</v>
      </c>
      <c r="Q65" s="12" t="n">
        <f aca="false">Q64*(Допущения!$C$6+Допущения!$C$7)*(1-Допущения!$C$13)</f>
        <v>2797903.74280266</v>
      </c>
      <c r="R65" s="12" t="n">
        <f aca="false">R64*(Допущения!$C$6+Допущения!$C$7)*(1-Допущения!$C$13)</f>
        <v>5049951.85300761</v>
      </c>
      <c r="S65" s="12" t="n">
        <f aca="false">S64*(Допущения!$C$6+Допущения!$C$7)*(1-Допущения!$C$13)</f>
        <v>5965512.89196758</v>
      </c>
      <c r="T65" s="12" t="n">
        <f aca="false">T64*(Допущения!$C$6+Допущения!$C$7)*(1-Допущения!$C$13)</f>
        <v>6940046.11718042</v>
      </c>
      <c r="U65" s="12" t="n">
        <f aca="false">U64*(Допущения!$C$6+Допущения!$C$7)*(1-Допущения!$C$13)</f>
        <v>7970226.87833569</v>
      </c>
      <c r="V65" s="12" t="n">
        <f aca="false">V64*(Допущения!$C$6+Допущения!$C$7)*(1-Допущения!$C$13)</f>
        <v>5173080.57698089</v>
      </c>
      <c r="W65" s="12" t="n">
        <f aca="false">W64*(Допущения!$C$6+Допущения!$C$7)*(1-Допущения!$C$13)</f>
        <v>6111016.60138488</v>
      </c>
      <c r="X65" s="12" t="n">
        <f aca="false">X64*(Допущения!$C$6+Допущения!$C$7)*(1-Допущения!$C$13)</f>
        <v>7102357.80037379</v>
      </c>
      <c r="Y65" s="12" t="n">
        <f aca="false">Y64*(Допущения!$C$6+Допущения!$C$7)*(1-Допущения!$C$13)</f>
        <v>7403765.2773607</v>
      </c>
      <c r="Z65" s="12" t="n">
        <f aca="false">Z64*(Допущения!$C$6+Допущения!$C$7)*(1-Допущения!$C$13)</f>
        <v>7694623.49265308</v>
      </c>
      <c r="AA65" s="12" t="n">
        <f aca="false">AA64*(Допущения!$C$6+Допущения!$C$7)*(1-Допущения!$C$13)</f>
        <v>6545238.33632818</v>
      </c>
      <c r="AB65" s="12" t="n">
        <f aca="false">AB64*(Допущения!$C$6+Допущения!$C$7)*(1-Допущения!$C$13)</f>
        <v>5190857.99591752</v>
      </c>
      <c r="AC65" s="12" t="n">
        <f aca="false">AC64*(Допущения!$C$6+Допущения!$C$7)*(1-Допущения!$C$13)</f>
        <v>5462919.71606041</v>
      </c>
      <c r="AD65" s="12" t="n">
        <f aca="false">AD64*(Допущения!$C$6+Допущения!$C$7)*(1-Допущения!$C$13)</f>
        <v>9542432.12666382</v>
      </c>
      <c r="AE65" s="12" t="n">
        <f aca="false">AE64*(Допущения!$C$6+Допущения!$C$7)*(1-Допущения!$C$13)</f>
        <v>10961151.5774536</v>
      </c>
      <c r="AF65" s="12" t="n">
        <f aca="false">AF64*(Допущения!$C$6+Допущения!$C$7)*(1-Допущения!$C$13)</f>
        <v>12446586.706083</v>
      </c>
      <c r="AG65" s="12" t="n">
        <f aca="false">AG64*(Допущения!$C$6+Допущения!$C$7)*(1-Допущения!$C$13)</f>
        <v>13994976.310651</v>
      </c>
      <c r="AH65" s="12" t="n">
        <f aca="false">AH64*(Допущения!$C$6+Допущения!$C$7)*(1-Допущения!$C$13)</f>
        <v>8915851.8552481</v>
      </c>
      <c r="AI65" s="12" t="n">
        <f aca="false">AI64*(Допущения!$C$6+Допущения!$C$7)*(1-Допущения!$C$13)</f>
        <v>10359884.2953537</v>
      </c>
      <c r="AJ65" s="12" t="n">
        <f aca="false">AJ64*(Допущения!$C$6+Допущения!$C$7)*(1-Допущения!$C$13)</f>
        <v>11864334.4111293</v>
      </c>
      <c r="AK65" s="12" t="n">
        <f aca="false">AK64*(Допущения!$C$6+Допущения!$C$7)*(1-Допущения!$C$13)</f>
        <v>12205318.9567397</v>
      </c>
      <c r="AL65" s="12" t="n">
        <f aca="false">AL64*(Допущения!$C$6+Допущения!$C$7)*(1-Допущения!$C$13)</f>
        <v>12534369.0432539</v>
      </c>
    </row>
    <row r="66" customFormat="false" ht="15" hidden="false" customHeight="false" outlineLevel="0" collapsed="false">
      <c r="A66" s="6" t="s">
        <v>141</v>
      </c>
      <c r="B66" s="3" t="s">
        <v>70</v>
      </c>
      <c r="C66" s="12" t="n">
        <f aca="false">C64*(1+Допущения!$C$6)*Допущения!$E$23</f>
        <v>89302.5</v>
      </c>
      <c r="D66" s="12" t="n">
        <f aca="false">D64*(1+Допущения!$C$6)*Допущения!$E$23</f>
        <v>131609.559375</v>
      </c>
      <c r="E66" s="12" t="n">
        <f aca="false">E64*(1+Допущения!$C$6)*Допущения!$E$23</f>
        <v>193980.099796875</v>
      </c>
      <c r="F66" s="12" t="n">
        <f aca="false">F64*(1+Допущения!$C$6)*Допущения!$E$23</f>
        <v>423612.785506641</v>
      </c>
      <c r="G66" s="12" t="n">
        <f aca="false">G64*(1+Допущения!$C$6)*Допущения!$E$23</f>
        <v>572455.909315299</v>
      </c>
      <c r="H66" s="12" t="n">
        <f aca="false">H64*(1+Допущения!$C$6)*Допущения!$E$23</f>
        <v>736593.698170106</v>
      </c>
      <c r="I66" s="12" t="n">
        <f aca="false">I64*(1+Допущения!$C$6)*Допущения!$E$23</f>
        <v>915163.891128665</v>
      </c>
      <c r="J66" s="12" t="n">
        <f aca="false">J64*(1+Допущения!$C$6)*Допущения!$E$23</f>
        <v>632769.056885638</v>
      </c>
      <c r="K66" s="12" t="n">
        <f aca="false">K64*(1+Допущения!$C$6)*Допущения!$E$23</f>
        <v>787415.219881471</v>
      </c>
      <c r="L66" s="12" t="n">
        <f aca="false">L64*(1+Допущения!$C$6)*Допущения!$E$23</f>
        <v>955912.22187291</v>
      </c>
      <c r="M66" s="12" t="n">
        <f aca="false">M64*(1+Допущения!$C$6)*Допущения!$E$23</f>
        <v>1034083.41910736</v>
      </c>
      <c r="N66" s="12" t="n">
        <f aca="false">N64*(1+Допущения!$C$6)*Допущения!$E$23</f>
        <v>1109518.6244386</v>
      </c>
      <c r="O66" s="12" t="n">
        <f aca="false">O64*(1+Допущения!$C$6)*Допущения!$E$23</f>
        <v>999432.3780666</v>
      </c>
      <c r="P66" s="12" t="n">
        <f aca="false">P64*(1+Допущения!$C$6)*Допущения!$E$23</f>
        <v>830502.183625702</v>
      </c>
      <c r="Q66" s="12" t="n">
        <f aca="false">Q64*(1+Допущения!$C$6)*Допущения!$E$23</f>
        <v>908597.607198802</v>
      </c>
      <c r="R66" s="12" t="n">
        <f aca="false">R64*(1+Допущения!$C$6)*Допущения!$E$23</f>
        <v>1639932.81824474</v>
      </c>
      <c r="S66" s="12" t="n">
        <f aca="false">S64*(1+Допущения!$C$6)*Допущения!$E$23</f>
        <v>1937254.18656679</v>
      </c>
      <c r="T66" s="12" t="n">
        <f aca="false">T64*(1+Допущения!$C$6)*Допущения!$E$23</f>
        <v>2253726.31640395</v>
      </c>
      <c r="U66" s="12" t="n">
        <f aca="false">U64*(1+Допущения!$C$6)*Допущения!$E$23</f>
        <v>2588269.55327396</v>
      </c>
      <c r="V66" s="12" t="n">
        <f aca="false">V64*(1+Допущения!$C$6)*Допущения!$E$23</f>
        <v>1679917.91932885</v>
      </c>
      <c r="W66" s="12" t="n">
        <f aca="false">W64*(1+Допущения!$C$6)*Допущения!$E$23</f>
        <v>1984505.39117138</v>
      </c>
      <c r="X66" s="12" t="n">
        <f aca="false">X64*(1+Допущения!$C$6)*Допущения!$E$23</f>
        <v>2306435.78053376</v>
      </c>
      <c r="Y66" s="12" t="n">
        <f aca="false">Y64*(1+Допущения!$C$6)*Допущения!$E$23</f>
        <v>2404315.52821507</v>
      </c>
      <c r="Z66" s="12" t="n">
        <f aca="false">Z64*(1+Допущения!$C$6)*Допущения!$E$23</f>
        <v>2498769.48472755</v>
      </c>
      <c r="AA66" s="12" t="n">
        <f aca="false">AA64*(1+Допущения!$C$6)*Допущения!$E$23</f>
        <v>2125515.54220967</v>
      </c>
      <c r="AB66" s="12" t="n">
        <f aca="false">AB64*(1+Допущения!$C$6)*Допущения!$E$23</f>
        <v>1685690.99867425</v>
      </c>
      <c r="AC66" s="12" t="n">
        <f aca="false">AC64*(1+Допущения!$C$6)*Допущения!$E$23</f>
        <v>1774040.93872065</v>
      </c>
      <c r="AD66" s="12" t="n">
        <f aca="false">AD64*(1+Допущения!$C$6)*Допущения!$E$23</f>
        <v>3098831.05144237</v>
      </c>
      <c r="AE66" s="12" t="n">
        <f aca="false">AE64*(1+Допущения!$C$6)*Допущения!$E$23</f>
        <v>3559549.22360608</v>
      </c>
      <c r="AF66" s="12" t="n">
        <f aca="false">AF64*(1+Допущения!$C$6)*Допущения!$E$23</f>
        <v>4041932.79630531</v>
      </c>
      <c r="AG66" s="12" t="n">
        <f aca="false">AG64*(1+Допущения!$C$6)*Допущения!$E$23</f>
        <v>4544760.34830418</v>
      </c>
      <c r="AH66" s="12" t="n">
        <f aca="false">AH64*(1+Допущения!$C$6)*Допущения!$E$23</f>
        <v>2895353.95299294</v>
      </c>
      <c r="AI66" s="12" t="n">
        <f aca="false">AI64*(1+Допущения!$C$6)*Допущения!$E$23</f>
        <v>3364292.32271796</v>
      </c>
      <c r="AJ66" s="12" t="n">
        <f aca="false">AJ64*(1+Допущения!$C$6)*Допущения!$E$23</f>
        <v>3852850.86546981</v>
      </c>
      <c r="AK66" s="12" t="n">
        <f aca="false">AK64*(1+Допущения!$C$6)*Допущения!$E$23</f>
        <v>3963582.96017837</v>
      </c>
      <c r="AL66" s="12" t="n">
        <f aca="false">AL64*(1+Допущения!$C$6)*Допущения!$E$23</f>
        <v>4070439.43157213</v>
      </c>
    </row>
    <row r="67" customFormat="false" ht="15" hidden="false" customHeight="false" outlineLevel="0" collapsed="false">
      <c r="A67" s="6" t="s">
        <v>142</v>
      </c>
      <c r="B67" s="3" t="s">
        <v>70</v>
      </c>
      <c r="C67" s="12" t="n">
        <f aca="false">C62/Допущения!$C$9*Допущения!$C$10+C62*Допущения!$C$11</f>
        <v>13500</v>
      </c>
      <c r="D67" s="12" t="n">
        <f aca="false">D62/Допущения!$C$9*Допущения!$C$10+D62*Допущения!$C$11</f>
        <v>19895.625</v>
      </c>
      <c r="E67" s="12" t="n">
        <f aca="false">E62/Допущения!$C$9*Допущения!$C$10+E62*Допущения!$C$11</f>
        <v>29324.278125</v>
      </c>
      <c r="F67" s="12" t="n">
        <f aca="false">F62/Допущения!$C$9*Допущения!$C$10+F62*Допущения!$C$11</f>
        <v>64038.213984375</v>
      </c>
      <c r="G67" s="12" t="n">
        <f aca="false">G62/Допущения!$C$9*Допущения!$C$10+G62*Допущения!$C$11</f>
        <v>86539.0641444141</v>
      </c>
      <c r="H67" s="12" t="n">
        <f aca="false">H62/Допущения!$C$9*Допущения!$C$10+H62*Допущения!$C$11</f>
        <v>111352.03298112</v>
      </c>
      <c r="I67" s="12" t="n">
        <f aca="false">I62/Допущения!$C$9*Допущения!$C$10+I62*Допущения!$C$11</f>
        <v>138346.771145679</v>
      </c>
      <c r="J67" s="12" t="n">
        <f aca="false">J62/Допущения!$C$9*Допущения!$C$10+J62*Допущения!$C$11</f>
        <v>95656.6979418954</v>
      </c>
      <c r="K67" s="12" t="n">
        <f aca="false">K62/Допущения!$C$9*Допущения!$C$10+K62*Допущения!$C$11</f>
        <v>119034.80270317</v>
      </c>
      <c r="L67" s="12" t="n">
        <f aca="false">L62/Допущения!$C$9*Допущения!$C$10+L62*Допущения!$C$11</f>
        <v>144506.760676177</v>
      </c>
      <c r="M67" s="12" t="n">
        <f aca="false">M62/Допущения!$C$9*Допущения!$C$10+M62*Допущения!$C$11</f>
        <v>156324.024052511</v>
      </c>
      <c r="N67" s="12" t="n">
        <f aca="false">N62/Допущения!$C$9*Допущения!$C$10+N62*Допущения!$C$11</f>
        <v>167727.683210673</v>
      </c>
      <c r="O67" s="12" t="n">
        <f aca="false">O62/Допущения!$C$9*Допущения!$C$10+O62*Допущения!$C$11</f>
        <v>151085.771438639</v>
      </c>
      <c r="P67" s="12" t="n">
        <f aca="false">P62/Допущения!$C$9*Допущения!$C$10+P62*Допущения!$C$11</f>
        <v>125548.327078715</v>
      </c>
      <c r="Q67" s="12" t="n">
        <f aca="false">Q62/Допущения!$C$9*Допущения!$C$10+Q62*Допущения!$C$11</f>
        <v>137354.13563096</v>
      </c>
      <c r="R67" s="12" t="n">
        <f aca="false">R62/Допущения!$C$9*Допущения!$C$10+R62*Допущения!$C$11</f>
        <v>247911.234806461</v>
      </c>
      <c r="S67" s="12" t="n">
        <f aca="false">S62/Допущения!$C$9*Допущения!$C$10+S62*Допущения!$C$11</f>
        <v>292857.775747058</v>
      </c>
      <c r="T67" s="12" t="n">
        <f aca="false">T62/Допущения!$C$9*Допущения!$C$10+T62*Допущения!$C$11</f>
        <v>340699.367559176</v>
      </c>
      <c r="U67" s="12" t="n">
        <f aca="false">U62/Допущения!$C$9*Допущения!$C$10+U62*Допущения!$C$11</f>
        <v>391272.797169155</v>
      </c>
      <c r="V67" s="12" t="n">
        <f aca="false">V62/Допущения!$C$9*Допущения!$C$10+V62*Допущения!$C$11</f>
        <v>253955.845703529</v>
      </c>
      <c r="W67" s="12" t="n">
        <f aca="false">W62/Допущения!$C$9*Допущения!$C$10+W62*Допущения!$C$11</f>
        <v>300000.814991894</v>
      </c>
      <c r="X67" s="12" t="n">
        <f aca="false">X62/Допущения!$C$9*Допущения!$C$10+X62*Допущения!$C$11</f>
        <v>348667.540519086</v>
      </c>
      <c r="Y67" s="12" t="n">
        <f aca="false">Y62/Допущения!$C$9*Допущения!$C$10+Y62*Допущения!$C$11</f>
        <v>363464.176600918</v>
      </c>
      <c r="Z67" s="12" t="n">
        <f aca="false">Z62/Допущения!$C$9*Допущения!$C$10+Z62*Допущения!$C$11</f>
        <v>377742.930419886</v>
      </c>
      <c r="AA67" s="12" t="n">
        <f aca="false">AA62/Допущения!$C$9*Допущения!$C$10+AA62*Допущения!$C$11</f>
        <v>321317.542284152</v>
      </c>
      <c r="AB67" s="12" t="n">
        <f aca="false">AB62/Допущения!$C$9*Допущения!$C$10+AB62*Допущения!$C$11</f>
        <v>254828.571228155</v>
      </c>
      <c r="AC67" s="12" t="n">
        <f aca="false">AC62/Допущения!$C$9*Допущения!$C$10+AC62*Допущения!$C$11</f>
        <v>268184.57123517</v>
      </c>
      <c r="AD67" s="12" t="n">
        <f aca="false">AD62/Допущения!$C$9*Допущения!$C$10+AD62*Допущения!$C$11</f>
        <v>468455.185403231</v>
      </c>
      <c r="AE67" s="12" t="n">
        <f aca="false">AE62/Допущения!$C$9*Допущения!$C$10+AE62*Допущения!$C$11</f>
        <v>538102.67930553</v>
      </c>
      <c r="AF67" s="12" t="n">
        <f aca="false">AF62/Допущения!$C$9*Допущения!$C$10+AF62*Допущения!$C$11</f>
        <v>611025.366032549</v>
      </c>
      <c r="AG67" s="12" t="n">
        <f aca="false">AG62/Допущения!$C$9*Допущения!$C$10+AG62*Допущения!$C$11</f>
        <v>687038.601406527</v>
      </c>
      <c r="AH67" s="12" t="n">
        <f aca="false">AH62/Допущения!$C$9*Допущения!$C$10+AH62*Допущения!$C$11</f>
        <v>437695.230989107</v>
      </c>
      <c r="AI67" s="12" t="n">
        <f aca="false">AI62/Допущения!$C$9*Допущения!$C$10+AI62*Допущения!$C$11</f>
        <v>508585.385142549</v>
      </c>
      <c r="AJ67" s="12" t="n">
        <f aca="false">AJ62/Допущения!$C$9*Допущения!$C$10+AJ62*Допущения!$C$11</f>
        <v>582441.551847289</v>
      </c>
      <c r="AK67" s="12" t="n">
        <f aca="false">AK62/Допущения!$C$9*Допущения!$C$10+AK62*Допущения!$C$11</f>
        <v>599181.097532634</v>
      </c>
      <c r="AL67" s="12" t="n">
        <f aca="false">AL62/Допущения!$C$9*Допущения!$C$10+AL62*Допущения!$C$11</f>
        <v>615334.759118991</v>
      </c>
    </row>
    <row r="68" customFormat="false" ht="15" hidden="false" customHeight="false" outlineLevel="0" collapsed="false">
      <c r="A68" s="6" t="s">
        <v>143</v>
      </c>
      <c r="B68" s="3" t="s">
        <v>70</v>
      </c>
      <c r="C68" s="12" t="n">
        <f aca="false">C65*Допущения!$C$8</f>
        <v>10999.8</v>
      </c>
      <c r="D68" s="12" t="n">
        <f aca="false">D65*Допущения!$C$8</f>
        <v>16210.95525</v>
      </c>
      <c r="E68" s="12" t="n">
        <f aca="false">E65*Допущения!$C$8</f>
        <v>23893.42181625</v>
      </c>
      <c r="F68" s="12" t="n">
        <f aca="false">F65*Допущения!$C$8</f>
        <v>52178.3367544687</v>
      </c>
      <c r="G68" s="12" t="n">
        <f aca="false">G65*Допущения!$C$8</f>
        <v>70512.0294648686</v>
      </c>
      <c r="H68" s="12" t="n">
        <f aca="false">H65*Допущения!$C$8</f>
        <v>90729.6364730162</v>
      </c>
      <c r="I68" s="12" t="n">
        <f aca="false">I65*Допущения!$C$8</f>
        <v>112724.949129499</v>
      </c>
      <c r="J68" s="12" t="n">
        <f aca="false">J65*Допущения!$C$8</f>
        <v>77941.0774830564</v>
      </c>
      <c r="K68" s="12" t="n">
        <f aca="false">K65*Допущения!$C$8</f>
        <v>96989.557242543</v>
      </c>
      <c r="L68" s="12" t="n">
        <f aca="false">L65*Допущения!$C$8</f>
        <v>117744.108598949</v>
      </c>
      <c r="M68" s="12" t="n">
        <f aca="false">M65*Допущения!$C$8</f>
        <v>127372.814797986</v>
      </c>
      <c r="N68" s="12" t="n">
        <f aca="false">N65*Допущения!$C$8</f>
        <v>136664.516280056</v>
      </c>
      <c r="O68" s="12" t="n">
        <f aca="false">O65*Допущения!$C$8</f>
        <v>123104.686568203</v>
      </c>
      <c r="P68" s="12" t="n">
        <f aca="false">P65*Допущения!$C$8</f>
        <v>102296.776903737</v>
      </c>
      <c r="Q68" s="12" t="n">
        <f aca="false">Q65*Допущения!$C$8</f>
        <v>111916.149712106</v>
      </c>
      <c r="R68" s="12" t="n">
        <f aca="false">R65*Допущения!$C$8</f>
        <v>201998.074120304</v>
      </c>
      <c r="S68" s="12" t="n">
        <f aca="false">S65*Допущения!$C$8</f>
        <v>238620.515678703</v>
      </c>
      <c r="T68" s="12" t="n">
        <f aca="false">T65*Допущения!$C$8</f>
        <v>277601.844687217</v>
      </c>
      <c r="U68" s="12" t="n">
        <f aca="false">U65*Допущения!$C$8</f>
        <v>318809.075133428</v>
      </c>
      <c r="V68" s="12" t="n">
        <f aca="false">V65*Допущения!$C$8</f>
        <v>206923.223079236</v>
      </c>
      <c r="W68" s="12" t="n">
        <f aca="false">W65*Допущения!$C$8</f>
        <v>244440.664055395</v>
      </c>
      <c r="X68" s="12" t="n">
        <f aca="false">X65*Допущения!$C$8</f>
        <v>284094.312014951</v>
      </c>
      <c r="Y68" s="12" t="n">
        <f aca="false">Y65*Допущения!$C$8</f>
        <v>296150.611094428</v>
      </c>
      <c r="Z68" s="12" t="n">
        <f aca="false">Z65*Допущения!$C$8</f>
        <v>307784.939706123</v>
      </c>
      <c r="AA68" s="12" t="n">
        <f aca="false">AA65*Допущения!$C$8</f>
        <v>261809.533453127</v>
      </c>
      <c r="AB68" s="12" t="n">
        <f aca="false">AB65*Допущения!$C$8</f>
        <v>207634.319836701</v>
      </c>
      <c r="AC68" s="12" t="n">
        <f aca="false">AC65*Допущения!$C$8</f>
        <v>218516.788642416</v>
      </c>
      <c r="AD68" s="12" t="n">
        <f aca="false">AD65*Допущения!$C$8</f>
        <v>381697.285066553</v>
      </c>
      <c r="AE68" s="12" t="n">
        <f aca="false">AE65*Допущения!$C$8</f>
        <v>438446.063098146</v>
      </c>
      <c r="AF68" s="12" t="n">
        <f aca="false">AF65*Допущения!$C$8</f>
        <v>497863.468243321</v>
      </c>
      <c r="AG68" s="12" t="n">
        <f aca="false">AG65*Допущения!$C$8</f>
        <v>559799.052426038</v>
      </c>
      <c r="AH68" s="12" t="n">
        <f aca="false">AH65*Допущения!$C$8</f>
        <v>356634.074209924</v>
      </c>
      <c r="AI68" s="12" t="n">
        <f aca="false">AI65*Допущения!$C$8</f>
        <v>414395.371814149</v>
      </c>
      <c r="AJ68" s="12" t="n">
        <f aca="false">AJ65*Допущения!$C$8</f>
        <v>474573.376445171</v>
      </c>
      <c r="AK68" s="12" t="n">
        <f aca="false">AK65*Допущения!$C$8</f>
        <v>488212.75826959</v>
      </c>
      <c r="AL68" s="12" t="n">
        <f aca="false">AL65*Допущения!$C$8</f>
        <v>501374.761730154</v>
      </c>
    </row>
    <row r="69" customFormat="false" ht="15" hidden="false" customHeight="false" outlineLevel="0" collapsed="false">
      <c r="A69" s="31" t="s">
        <v>144</v>
      </c>
      <c r="B69" s="32" t="s">
        <v>70</v>
      </c>
      <c r="C69" s="33" t="n">
        <f aca="false">C65-C66-C67-C68</f>
        <v>161192.7</v>
      </c>
      <c r="D69" s="33" t="n">
        <f aca="false">D65-D66-D67-D68</f>
        <v>237557.741625</v>
      </c>
      <c r="E69" s="33" t="n">
        <f aca="false">E65-E66-E67-E68</f>
        <v>350137.745668125</v>
      </c>
      <c r="F69" s="33" t="n">
        <f aca="false">F65-F66-F67-F68</f>
        <v>764629.082616234</v>
      </c>
      <c r="G69" s="33" t="n">
        <f aca="false">G65-G66-G67-G68</f>
        <v>1033293.73369713</v>
      </c>
      <c r="H69" s="33" t="n">
        <f aca="false">H65-H66-H67-H68</f>
        <v>1329565.54420116</v>
      </c>
      <c r="I69" s="33" t="n">
        <f aca="false">I65-I66-I67-I68</f>
        <v>1651888.11683363</v>
      </c>
      <c r="J69" s="33" t="n">
        <f aca="false">J65-J66-J67-J68</f>
        <v>1142160.10476582</v>
      </c>
      <c r="K69" s="33" t="n">
        <f aca="false">K65-K66-K67-K68</f>
        <v>1421299.35123639</v>
      </c>
      <c r="L69" s="33" t="n">
        <f aca="false">L65-L66-L67-L68</f>
        <v>1725439.62382569</v>
      </c>
      <c r="M69" s="33" t="n">
        <f aca="false">M65-M66-M67-M68</f>
        <v>1866540.11199179</v>
      </c>
      <c r="N69" s="33" t="n">
        <f aca="false">N65-N66-N67-N68</f>
        <v>2002702.08307208</v>
      </c>
      <c r="O69" s="33" t="n">
        <f aca="false">O65-O66-O67-O68</f>
        <v>1803994.32813164</v>
      </c>
      <c r="P69" s="33" t="n">
        <f aca="false">P65-P66-P67-P68</f>
        <v>1499072.13498528</v>
      </c>
      <c r="Q69" s="33" t="n">
        <f aca="false">Q65-Q66-Q67-Q68</f>
        <v>1640035.85026079</v>
      </c>
      <c r="R69" s="33" t="n">
        <f aca="false">R65-R66-R67-R68</f>
        <v>2960109.72583611</v>
      </c>
      <c r="S69" s="33" t="n">
        <f aca="false">S65-S66-S67-S68</f>
        <v>3496780.41397503</v>
      </c>
      <c r="T69" s="33" t="n">
        <f aca="false">T65-T66-T67-T68</f>
        <v>4068018.58853007</v>
      </c>
      <c r="U69" s="33" t="n">
        <f aca="false">U65-U66-U67-U68</f>
        <v>4671875.45275915</v>
      </c>
      <c r="V69" s="33" t="n">
        <f aca="false">V65-V66-V67-V68</f>
        <v>3032283.58886928</v>
      </c>
      <c r="W69" s="33" t="n">
        <f aca="false">W65-W66-W67-W68</f>
        <v>3582069.73116621</v>
      </c>
      <c r="X69" s="33" t="n">
        <f aca="false">X65-X66-X67-X68</f>
        <v>4163160.16730599</v>
      </c>
      <c r="Y69" s="33" t="n">
        <f aca="false">Y65-Y66-Y67-Y68</f>
        <v>4339834.96145028</v>
      </c>
      <c r="Z69" s="33" t="n">
        <f aca="false">Z65-Z66-Z67-Z68</f>
        <v>4510326.13779952</v>
      </c>
      <c r="AA69" s="33" t="n">
        <f aca="false">AA65-AA66-AA67-AA68</f>
        <v>3836595.71838123</v>
      </c>
      <c r="AB69" s="33" t="n">
        <f aca="false">AB65-AB66-AB67-AB68</f>
        <v>3042704.10617842</v>
      </c>
      <c r="AC69" s="33" t="n">
        <f aca="false">AC65-AC66-AC67-AC68</f>
        <v>3202177.41746217</v>
      </c>
      <c r="AD69" s="33" t="n">
        <f aca="false">AD65-AD66-AD67-AD68</f>
        <v>5593448.60475166</v>
      </c>
      <c r="AE69" s="33" t="n">
        <f aca="false">AE65-AE66-AE67-AE68</f>
        <v>6425053.61144389</v>
      </c>
      <c r="AF69" s="33" t="n">
        <f aca="false">AF65-AF66-AF67-AF68</f>
        <v>7295765.07550184</v>
      </c>
      <c r="AG69" s="33" t="n">
        <f aca="false">AG65-AG66-AG67-AG68</f>
        <v>8203378.30851421</v>
      </c>
      <c r="AH69" s="33" t="n">
        <f aca="false">AH65-AH66-AH67-AH68</f>
        <v>5226168.59705613</v>
      </c>
      <c r="AI69" s="33" t="n">
        <f aca="false">AI65-AI66-AI67-AI68</f>
        <v>6072611.21567906</v>
      </c>
      <c r="AJ69" s="33" t="n">
        <f aca="false">AJ65-AJ66-AJ67-AJ68</f>
        <v>6954468.617367</v>
      </c>
      <c r="AK69" s="33" t="n">
        <f aca="false">AK65-AK66-AK67-AK68</f>
        <v>7154342.14075915</v>
      </c>
      <c r="AL69" s="33" t="n">
        <f aca="false">AL65-AL66-AL67-AL68</f>
        <v>7347220.09083258</v>
      </c>
    </row>
    <row r="70" customFormat="false" ht="15" hidden="false" customHeight="false" outlineLevel="0" collapsed="false">
      <c r="A70" s="6" t="s">
        <v>145</v>
      </c>
      <c r="B70" s="3" t="s">
        <v>70</v>
      </c>
      <c r="C70" s="12" t="n">
        <f aca="false">C58*Допущения!$E$30</f>
        <v>500000</v>
      </c>
      <c r="D70" s="12" t="n">
        <f aca="false">D58*Допущения!$E$30</f>
        <v>500000</v>
      </c>
      <c r="E70" s="12" t="n">
        <f aca="false">E58*Допущения!$E$30</f>
        <v>500000</v>
      </c>
      <c r="F70" s="12" t="n">
        <f aca="false">F58*Допущения!$E$30</f>
        <v>500000</v>
      </c>
      <c r="G70" s="12" t="n">
        <f aca="false">G58*Допущения!$E$30</f>
        <v>500000</v>
      </c>
      <c r="H70" s="12" t="n">
        <f aca="false">H58*Допущения!$E$30</f>
        <v>500000</v>
      </c>
      <c r="I70" s="12" t="n">
        <f aca="false">I58*Допущения!$E$30</f>
        <v>500000</v>
      </c>
      <c r="J70" s="12" t="n">
        <f aca="false">J58*Допущения!$E$30</f>
        <v>500000</v>
      </c>
      <c r="K70" s="12" t="n">
        <f aca="false">K58*Допущения!$E$30</f>
        <v>500000</v>
      </c>
      <c r="L70" s="12" t="n">
        <f aca="false">L58*Допущения!$E$30</f>
        <v>500000</v>
      </c>
      <c r="M70" s="12" t="n">
        <f aca="false">M58*Допущения!$E$30</f>
        <v>500000</v>
      </c>
      <c r="N70" s="12" t="n">
        <f aca="false">N58*Допущения!$E$30</f>
        <v>500000</v>
      </c>
      <c r="O70" s="12" t="n">
        <f aca="false">O58*Допущения!$E$30</f>
        <v>800000</v>
      </c>
      <c r="P70" s="12" t="n">
        <f aca="false">P58*Допущения!$E$30</f>
        <v>800000</v>
      </c>
      <c r="Q70" s="12" t="n">
        <f aca="false">Q58*Допущения!$E$30</f>
        <v>800000</v>
      </c>
      <c r="R70" s="12" t="n">
        <f aca="false">R58*Допущения!$E$30</f>
        <v>800000</v>
      </c>
      <c r="S70" s="12" t="n">
        <f aca="false">S58*Допущения!$E$30</f>
        <v>800000</v>
      </c>
      <c r="T70" s="12" t="n">
        <f aca="false">T58*Допущения!$E$30</f>
        <v>800000</v>
      </c>
      <c r="U70" s="12" t="n">
        <f aca="false">U58*Допущения!$E$30</f>
        <v>800000</v>
      </c>
      <c r="V70" s="12" t="n">
        <f aca="false">V58*Допущения!$E$30</f>
        <v>800000</v>
      </c>
      <c r="W70" s="12" t="n">
        <f aca="false">W58*Допущения!$E$30</f>
        <v>800000</v>
      </c>
      <c r="X70" s="12" t="n">
        <f aca="false">X58*Допущения!$E$30</f>
        <v>800000</v>
      </c>
      <c r="Y70" s="12" t="n">
        <f aca="false">Y58*Допущения!$E$30</f>
        <v>800000</v>
      </c>
      <c r="Z70" s="12" t="n">
        <f aca="false">Z58*Допущения!$E$30</f>
        <v>800000</v>
      </c>
      <c r="AA70" s="12" t="n">
        <f aca="false">AA58*Допущения!$E$30</f>
        <v>1100000</v>
      </c>
      <c r="AB70" s="12" t="n">
        <f aca="false">AB58*Допущения!$E$30</f>
        <v>1100000</v>
      </c>
      <c r="AC70" s="12" t="n">
        <f aca="false">AC58*Допущения!$E$30</f>
        <v>1100000</v>
      </c>
      <c r="AD70" s="12" t="n">
        <f aca="false">AD58*Допущения!$E$30</f>
        <v>1100000</v>
      </c>
      <c r="AE70" s="12" t="n">
        <f aca="false">AE58*Допущения!$E$30</f>
        <v>1100000</v>
      </c>
      <c r="AF70" s="12" t="n">
        <f aca="false">AF58*Допущения!$E$30</f>
        <v>1100000</v>
      </c>
      <c r="AG70" s="12" t="n">
        <f aca="false">AG58*Допущения!$E$30</f>
        <v>1100000</v>
      </c>
      <c r="AH70" s="12" t="n">
        <f aca="false">AH58*Допущения!$E$30</f>
        <v>1100000</v>
      </c>
      <c r="AI70" s="12" t="n">
        <f aca="false">AI58*Допущения!$E$30</f>
        <v>1100000</v>
      </c>
      <c r="AJ70" s="12" t="n">
        <f aca="false">AJ58*Допущения!$E$30</f>
        <v>1100000</v>
      </c>
      <c r="AK70" s="12" t="n">
        <f aca="false">AK58*Допущения!$E$30</f>
        <v>1100000</v>
      </c>
      <c r="AL70" s="12" t="n">
        <f aca="false">AL58*Допущения!$E$30</f>
        <v>1100000</v>
      </c>
    </row>
    <row r="71" customFormat="false" ht="15" hidden="false" customHeight="false" outlineLevel="0" collapsed="false">
      <c r="A71" s="6" t="s">
        <v>146</v>
      </c>
      <c r="B71" s="3" t="s">
        <v>70</v>
      </c>
      <c r="C71" s="12" t="n">
        <f aca="false">CHOOSE(C$6,Допущения!$C$18,Допущения!$D$18,Допущения!$E$18)</f>
        <v>60000</v>
      </c>
      <c r="D71" s="12" t="n">
        <f aca="false">CHOOSE(D$6,Допущения!$C$18,Допущения!$D$18,Допущения!$E$18)</f>
        <v>60000</v>
      </c>
      <c r="E71" s="12" t="n">
        <f aca="false">CHOOSE(E$6,Допущения!$C$18,Допущения!$D$18,Допущения!$E$18)</f>
        <v>60000</v>
      </c>
      <c r="F71" s="12" t="n">
        <f aca="false">CHOOSE(F$6,Допущения!$C$18,Допущения!$D$18,Допущения!$E$18)</f>
        <v>60000</v>
      </c>
      <c r="G71" s="12" t="n">
        <f aca="false">CHOOSE(G$6,Допущения!$C$18,Допущения!$D$18,Допущения!$E$18)</f>
        <v>60000</v>
      </c>
      <c r="H71" s="12" t="n">
        <f aca="false">CHOOSE(H$6,Допущения!$C$18,Допущения!$D$18,Допущения!$E$18)</f>
        <v>60000</v>
      </c>
      <c r="I71" s="12" t="n">
        <f aca="false">CHOOSE(I$6,Допущения!$C$18,Допущения!$D$18,Допущения!$E$18)</f>
        <v>60000</v>
      </c>
      <c r="J71" s="12" t="n">
        <f aca="false">CHOOSE(J$6,Допущения!$C$18,Допущения!$D$18,Допущения!$E$18)</f>
        <v>60000</v>
      </c>
      <c r="K71" s="12" t="n">
        <f aca="false">CHOOSE(K$6,Допущения!$C$18,Допущения!$D$18,Допущения!$E$18)</f>
        <v>60000</v>
      </c>
      <c r="L71" s="12" t="n">
        <f aca="false">CHOOSE(L$6,Допущения!$C$18,Допущения!$D$18,Допущения!$E$18)</f>
        <v>60000</v>
      </c>
      <c r="M71" s="12" t="n">
        <f aca="false">CHOOSE(M$6,Допущения!$C$18,Допущения!$D$18,Допущения!$E$18)</f>
        <v>60000</v>
      </c>
      <c r="N71" s="12" t="n">
        <f aca="false">CHOOSE(N$6,Допущения!$C$18,Допущения!$D$18,Допущения!$E$18)</f>
        <v>60000</v>
      </c>
      <c r="O71" s="12" t="n">
        <f aca="false">CHOOSE(O$6,Допущения!$C$18,Допущения!$D$18,Допущения!$E$18)</f>
        <v>120000</v>
      </c>
      <c r="P71" s="12" t="n">
        <f aca="false">CHOOSE(P$6,Допущения!$C$18,Допущения!$D$18,Допущения!$E$18)</f>
        <v>120000</v>
      </c>
      <c r="Q71" s="12" t="n">
        <f aca="false">CHOOSE(Q$6,Допущения!$C$18,Допущения!$D$18,Допущения!$E$18)</f>
        <v>120000</v>
      </c>
      <c r="R71" s="12" t="n">
        <f aca="false">CHOOSE(R$6,Допущения!$C$18,Допущения!$D$18,Допущения!$E$18)</f>
        <v>120000</v>
      </c>
      <c r="S71" s="12" t="n">
        <f aca="false">CHOOSE(S$6,Допущения!$C$18,Допущения!$D$18,Допущения!$E$18)</f>
        <v>120000</v>
      </c>
      <c r="T71" s="12" t="n">
        <f aca="false">CHOOSE(T$6,Допущения!$C$18,Допущения!$D$18,Допущения!$E$18)</f>
        <v>120000</v>
      </c>
      <c r="U71" s="12" t="n">
        <f aca="false">CHOOSE(U$6,Допущения!$C$18,Допущения!$D$18,Допущения!$E$18)</f>
        <v>120000</v>
      </c>
      <c r="V71" s="12" t="n">
        <f aca="false">CHOOSE(V$6,Допущения!$C$18,Допущения!$D$18,Допущения!$E$18)</f>
        <v>120000</v>
      </c>
      <c r="W71" s="12" t="n">
        <f aca="false">CHOOSE(W$6,Допущения!$C$18,Допущения!$D$18,Допущения!$E$18)</f>
        <v>120000</v>
      </c>
      <c r="X71" s="12" t="n">
        <f aca="false">CHOOSE(X$6,Допущения!$C$18,Допущения!$D$18,Допущения!$E$18)</f>
        <v>120000</v>
      </c>
      <c r="Y71" s="12" t="n">
        <f aca="false">CHOOSE(Y$6,Допущения!$C$18,Допущения!$D$18,Допущения!$E$18)</f>
        <v>120000</v>
      </c>
      <c r="Z71" s="12" t="n">
        <f aca="false">CHOOSE(Z$6,Допущения!$C$18,Допущения!$D$18,Допущения!$E$18)</f>
        <v>120000</v>
      </c>
      <c r="AA71" s="12" t="n">
        <f aca="false">CHOOSE(AA$6,Допущения!$C$18,Допущения!$D$18,Допущения!$E$18)</f>
        <v>200000</v>
      </c>
      <c r="AB71" s="12" t="n">
        <f aca="false">CHOOSE(AB$6,Допущения!$C$18,Допущения!$D$18,Допущения!$E$18)</f>
        <v>200000</v>
      </c>
      <c r="AC71" s="12" t="n">
        <f aca="false">CHOOSE(AC$6,Допущения!$C$18,Допущения!$D$18,Допущения!$E$18)</f>
        <v>200000</v>
      </c>
      <c r="AD71" s="12" t="n">
        <f aca="false">CHOOSE(AD$6,Допущения!$C$18,Допущения!$D$18,Допущения!$E$18)</f>
        <v>200000</v>
      </c>
      <c r="AE71" s="12" t="n">
        <f aca="false">CHOOSE(AE$6,Допущения!$C$18,Допущения!$D$18,Допущения!$E$18)</f>
        <v>200000</v>
      </c>
      <c r="AF71" s="12" t="n">
        <f aca="false">CHOOSE(AF$6,Допущения!$C$18,Допущения!$D$18,Допущения!$E$18)</f>
        <v>200000</v>
      </c>
      <c r="AG71" s="12" t="n">
        <f aca="false">CHOOSE(AG$6,Допущения!$C$18,Допущения!$D$18,Допущения!$E$18)</f>
        <v>200000</v>
      </c>
      <c r="AH71" s="12" t="n">
        <f aca="false">CHOOSE(AH$6,Допущения!$C$18,Допущения!$D$18,Допущения!$E$18)</f>
        <v>200000</v>
      </c>
      <c r="AI71" s="12" t="n">
        <f aca="false">CHOOSE(AI$6,Допущения!$C$18,Допущения!$D$18,Допущения!$E$18)</f>
        <v>200000</v>
      </c>
      <c r="AJ71" s="12" t="n">
        <f aca="false">CHOOSE(AJ$6,Допущения!$C$18,Допущения!$D$18,Допущения!$E$18)</f>
        <v>200000</v>
      </c>
      <c r="AK71" s="12" t="n">
        <f aca="false">CHOOSE(AK$6,Допущения!$C$18,Допущения!$D$18,Допущения!$E$18)</f>
        <v>200000</v>
      </c>
      <c r="AL71" s="12" t="n">
        <f aca="false">CHOOSE(AL$6,Допущения!$C$18,Допущения!$D$18,Допущения!$E$18)</f>
        <v>200000</v>
      </c>
    </row>
    <row r="72" customFormat="false" ht="15" hidden="false" customHeight="false" outlineLevel="0" collapsed="false">
      <c r="A72" s="6" t="s">
        <v>147</v>
      </c>
      <c r="B72" s="3" t="s">
        <v>70</v>
      </c>
      <c r="C72" s="12" t="n">
        <f aca="false">Допущения!$C$15+IF(C$4=1,Допущения!$C$14,0)</f>
        <v>840000</v>
      </c>
      <c r="D72" s="12" t="n">
        <f aca="false">Допущения!$C$15+IF(D$4=1,Допущения!$C$14,0)</f>
        <v>40000</v>
      </c>
      <c r="E72" s="12" t="n">
        <f aca="false">Допущения!$C$15+IF(E$4=1,Допущения!$C$14,0)</f>
        <v>40000</v>
      </c>
      <c r="F72" s="12" t="n">
        <f aca="false">Допущения!$C$15+IF(F$4=1,Допущения!$C$14,0)</f>
        <v>40000</v>
      </c>
      <c r="G72" s="12" t="n">
        <f aca="false">Допущения!$C$15+IF(G$4=1,Допущения!$C$14,0)</f>
        <v>40000</v>
      </c>
      <c r="H72" s="12" t="n">
        <f aca="false">Допущения!$C$15+IF(H$4=1,Допущения!$C$14,0)</f>
        <v>40000</v>
      </c>
      <c r="I72" s="12" t="n">
        <f aca="false">Допущения!$C$15+IF(I$4=1,Допущения!$C$14,0)</f>
        <v>40000</v>
      </c>
      <c r="J72" s="12" t="n">
        <f aca="false">Допущения!$C$15+IF(J$4=1,Допущения!$C$14,0)</f>
        <v>40000</v>
      </c>
      <c r="K72" s="12" t="n">
        <f aca="false">Допущения!$C$15+IF(K$4=1,Допущения!$C$14,0)</f>
        <v>40000</v>
      </c>
      <c r="L72" s="12" t="n">
        <f aca="false">Допущения!$C$15+IF(L$4=1,Допущения!$C$14,0)</f>
        <v>40000</v>
      </c>
      <c r="M72" s="12" t="n">
        <f aca="false">Допущения!$C$15+IF(M$4=1,Допущения!$C$14,0)</f>
        <v>40000</v>
      </c>
      <c r="N72" s="12" t="n">
        <f aca="false">Допущения!$C$15+IF(N$4=1,Допущения!$C$14,0)</f>
        <v>40000</v>
      </c>
      <c r="O72" s="12" t="n">
        <f aca="false">Допущения!$C$15+IF(O$4=1,Допущения!$C$14,0)</f>
        <v>40000</v>
      </c>
      <c r="P72" s="12" t="n">
        <f aca="false">Допущения!$C$15+IF(P$4=1,Допущения!$C$14,0)</f>
        <v>40000</v>
      </c>
      <c r="Q72" s="12" t="n">
        <f aca="false">Допущения!$C$15+IF(Q$4=1,Допущения!$C$14,0)</f>
        <v>40000</v>
      </c>
      <c r="R72" s="12" t="n">
        <f aca="false">Допущения!$C$15+IF(R$4=1,Допущения!$C$14,0)</f>
        <v>40000</v>
      </c>
      <c r="S72" s="12" t="n">
        <f aca="false">Допущения!$C$15+IF(S$4=1,Допущения!$C$14,0)</f>
        <v>40000</v>
      </c>
      <c r="T72" s="12" t="n">
        <f aca="false">Допущения!$C$15+IF(T$4=1,Допущения!$C$14,0)</f>
        <v>40000</v>
      </c>
      <c r="U72" s="12" t="n">
        <f aca="false">Допущения!$C$15+IF(U$4=1,Допущения!$C$14,0)</f>
        <v>40000</v>
      </c>
      <c r="V72" s="12" t="n">
        <f aca="false">Допущения!$C$15+IF(V$4=1,Допущения!$C$14,0)</f>
        <v>40000</v>
      </c>
      <c r="W72" s="12" t="n">
        <f aca="false">Допущения!$C$15+IF(W$4=1,Допущения!$C$14,0)</f>
        <v>40000</v>
      </c>
      <c r="X72" s="12" t="n">
        <f aca="false">Допущения!$C$15+IF(X$4=1,Допущения!$C$14,0)</f>
        <v>40000</v>
      </c>
      <c r="Y72" s="12" t="n">
        <f aca="false">Допущения!$C$15+IF(Y$4=1,Допущения!$C$14,0)</f>
        <v>40000</v>
      </c>
      <c r="Z72" s="12" t="n">
        <f aca="false">Допущения!$C$15+IF(Z$4=1,Допущения!$C$14,0)</f>
        <v>40000</v>
      </c>
      <c r="AA72" s="12" t="n">
        <f aca="false">Допущения!$C$15+IF(AA$4=1,Допущения!$C$14,0)</f>
        <v>40000</v>
      </c>
      <c r="AB72" s="12" t="n">
        <f aca="false">Допущения!$C$15+IF(AB$4=1,Допущения!$C$14,0)</f>
        <v>40000</v>
      </c>
      <c r="AC72" s="12" t="n">
        <f aca="false">Допущения!$C$15+IF(AC$4=1,Допущения!$C$14,0)</f>
        <v>40000</v>
      </c>
      <c r="AD72" s="12" t="n">
        <f aca="false">Допущения!$C$15+IF(AD$4=1,Допущения!$C$14,0)</f>
        <v>40000</v>
      </c>
      <c r="AE72" s="12" t="n">
        <f aca="false">Допущения!$C$15+IF(AE$4=1,Допущения!$C$14,0)</f>
        <v>40000</v>
      </c>
      <c r="AF72" s="12" t="n">
        <f aca="false">Допущения!$C$15+IF(AF$4=1,Допущения!$C$14,0)</f>
        <v>40000</v>
      </c>
      <c r="AG72" s="12" t="n">
        <f aca="false">Допущения!$C$15+IF(AG$4=1,Допущения!$C$14,0)</f>
        <v>40000</v>
      </c>
      <c r="AH72" s="12" t="n">
        <f aca="false">Допущения!$C$15+IF(AH$4=1,Допущения!$C$14,0)</f>
        <v>40000</v>
      </c>
      <c r="AI72" s="12" t="n">
        <f aca="false">Допущения!$C$15+IF(AI$4=1,Допущения!$C$14,0)</f>
        <v>40000</v>
      </c>
      <c r="AJ72" s="12" t="n">
        <f aca="false">Допущения!$C$15+IF(AJ$4=1,Допущения!$C$14,0)</f>
        <v>40000</v>
      </c>
      <c r="AK72" s="12" t="n">
        <f aca="false">Допущения!$C$15+IF(AK$4=1,Допущения!$C$14,0)</f>
        <v>40000</v>
      </c>
      <c r="AL72" s="12" t="n">
        <f aca="false">Допущения!$C$15+IF(AL$4=1,Допущения!$C$14,0)</f>
        <v>40000</v>
      </c>
    </row>
    <row r="73" customFormat="false" ht="15" hidden="false" customHeight="false" outlineLevel="0" collapsed="false">
      <c r="A73" s="6" t="s">
        <v>148</v>
      </c>
      <c r="B73" s="3" t="s">
        <v>70</v>
      </c>
      <c r="C73" s="12" t="n">
        <f aca="false">CHOOSE(C$6,Допущения!$C$19,Допущения!$D$19,Допущения!$E$19)</f>
        <v>0</v>
      </c>
      <c r="D73" s="12" t="n">
        <f aca="false">CHOOSE(D$6,Допущения!$C$19,Допущения!$D$19,Допущения!$E$19)</f>
        <v>0</v>
      </c>
      <c r="E73" s="12" t="n">
        <f aca="false">CHOOSE(E$6,Допущения!$C$19,Допущения!$D$19,Допущения!$E$19)</f>
        <v>0</v>
      </c>
      <c r="F73" s="12" t="n">
        <f aca="false">CHOOSE(F$6,Допущения!$C$19,Допущения!$D$19,Допущения!$E$19)</f>
        <v>0</v>
      </c>
      <c r="G73" s="12" t="n">
        <f aca="false">CHOOSE(G$6,Допущения!$C$19,Допущения!$D$19,Допущения!$E$19)</f>
        <v>0</v>
      </c>
      <c r="H73" s="12" t="n">
        <f aca="false">CHOOSE(H$6,Допущения!$C$19,Допущения!$D$19,Допущения!$E$19)</f>
        <v>0</v>
      </c>
      <c r="I73" s="12" t="n">
        <f aca="false">CHOOSE(I$6,Допущения!$C$19,Допущения!$D$19,Допущения!$E$19)</f>
        <v>0</v>
      </c>
      <c r="J73" s="12" t="n">
        <f aca="false">CHOOSE(J$6,Допущения!$C$19,Допущения!$D$19,Допущения!$E$19)</f>
        <v>0</v>
      </c>
      <c r="K73" s="12" t="n">
        <f aca="false">CHOOSE(K$6,Допущения!$C$19,Допущения!$D$19,Допущения!$E$19)</f>
        <v>0</v>
      </c>
      <c r="L73" s="12" t="n">
        <f aca="false">CHOOSE(L$6,Допущения!$C$19,Допущения!$D$19,Допущения!$E$19)</f>
        <v>0</v>
      </c>
      <c r="M73" s="12" t="n">
        <f aca="false">CHOOSE(M$6,Допущения!$C$19,Допущения!$D$19,Допущения!$E$19)</f>
        <v>0</v>
      </c>
      <c r="N73" s="12" t="n">
        <f aca="false">CHOOSE(N$6,Допущения!$C$19,Допущения!$D$19,Допущения!$E$19)</f>
        <v>0</v>
      </c>
      <c r="O73" s="12" t="n">
        <f aca="false">CHOOSE(O$6,Допущения!$C$19,Допущения!$D$19,Допущения!$E$19)</f>
        <v>300000</v>
      </c>
      <c r="P73" s="12" t="n">
        <f aca="false">CHOOSE(P$6,Допущения!$C$19,Допущения!$D$19,Допущения!$E$19)</f>
        <v>300000</v>
      </c>
      <c r="Q73" s="12" t="n">
        <f aca="false">CHOOSE(Q$6,Допущения!$C$19,Допущения!$D$19,Допущения!$E$19)</f>
        <v>300000</v>
      </c>
      <c r="R73" s="12" t="n">
        <f aca="false">CHOOSE(R$6,Допущения!$C$19,Допущения!$D$19,Допущения!$E$19)</f>
        <v>300000</v>
      </c>
      <c r="S73" s="12" t="n">
        <f aca="false">CHOOSE(S$6,Допущения!$C$19,Допущения!$D$19,Допущения!$E$19)</f>
        <v>300000</v>
      </c>
      <c r="T73" s="12" t="n">
        <f aca="false">CHOOSE(T$6,Допущения!$C$19,Допущения!$D$19,Допущения!$E$19)</f>
        <v>300000</v>
      </c>
      <c r="U73" s="12" t="n">
        <f aca="false">CHOOSE(U$6,Допущения!$C$19,Допущения!$D$19,Допущения!$E$19)</f>
        <v>300000</v>
      </c>
      <c r="V73" s="12" t="n">
        <f aca="false">CHOOSE(V$6,Допущения!$C$19,Допущения!$D$19,Допущения!$E$19)</f>
        <v>300000</v>
      </c>
      <c r="W73" s="12" t="n">
        <f aca="false">CHOOSE(W$6,Допущения!$C$19,Допущения!$D$19,Допущения!$E$19)</f>
        <v>300000</v>
      </c>
      <c r="X73" s="12" t="n">
        <f aca="false">CHOOSE(X$6,Допущения!$C$19,Допущения!$D$19,Допущения!$E$19)</f>
        <v>300000</v>
      </c>
      <c r="Y73" s="12" t="n">
        <f aca="false">CHOOSE(Y$6,Допущения!$C$19,Допущения!$D$19,Допущения!$E$19)</f>
        <v>300000</v>
      </c>
      <c r="Z73" s="12" t="n">
        <f aca="false">CHOOSE(Z$6,Допущения!$C$19,Допущения!$D$19,Допущения!$E$19)</f>
        <v>300000</v>
      </c>
      <c r="AA73" s="12" t="n">
        <f aca="false">CHOOSE(AA$6,Допущения!$C$19,Допущения!$D$19,Допущения!$E$19)</f>
        <v>500000</v>
      </c>
      <c r="AB73" s="12" t="n">
        <f aca="false">CHOOSE(AB$6,Допущения!$C$19,Допущения!$D$19,Допущения!$E$19)</f>
        <v>500000</v>
      </c>
      <c r="AC73" s="12" t="n">
        <f aca="false">CHOOSE(AC$6,Допущения!$C$19,Допущения!$D$19,Допущения!$E$19)</f>
        <v>500000</v>
      </c>
      <c r="AD73" s="12" t="n">
        <f aca="false">CHOOSE(AD$6,Допущения!$C$19,Допущения!$D$19,Допущения!$E$19)</f>
        <v>500000</v>
      </c>
      <c r="AE73" s="12" t="n">
        <f aca="false">CHOOSE(AE$6,Допущения!$C$19,Допущения!$D$19,Допущения!$E$19)</f>
        <v>500000</v>
      </c>
      <c r="AF73" s="12" t="n">
        <f aca="false">CHOOSE(AF$6,Допущения!$C$19,Допущения!$D$19,Допущения!$E$19)</f>
        <v>500000</v>
      </c>
      <c r="AG73" s="12" t="n">
        <f aca="false">CHOOSE(AG$6,Допущения!$C$19,Допущения!$D$19,Допущения!$E$19)</f>
        <v>500000</v>
      </c>
      <c r="AH73" s="12" t="n">
        <f aca="false">CHOOSE(AH$6,Допущения!$C$19,Допущения!$D$19,Допущения!$E$19)</f>
        <v>500000</v>
      </c>
      <c r="AI73" s="12" t="n">
        <f aca="false">CHOOSE(AI$6,Допущения!$C$19,Допущения!$D$19,Допущения!$E$19)</f>
        <v>500000</v>
      </c>
      <c r="AJ73" s="12" t="n">
        <f aca="false">CHOOSE(AJ$6,Допущения!$C$19,Допущения!$D$19,Допущения!$E$19)</f>
        <v>500000</v>
      </c>
      <c r="AK73" s="12" t="n">
        <f aca="false">CHOOSE(AK$6,Допущения!$C$19,Допущения!$D$19,Допущения!$E$19)</f>
        <v>500000</v>
      </c>
      <c r="AL73" s="12" t="n">
        <f aca="false">CHOOSE(AL$6,Допущения!$C$19,Допущения!$D$19,Допущения!$E$19)</f>
        <v>500000</v>
      </c>
    </row>
    <row r="74" customFormat="false" ht="15" hidden="false" customHeight="false" outlineLevel="0" collapsed="false">
      <c r="A74" s="6" t="s">
        <v>149</v>
      </c>
      <c r="B74" s="3" t="s">
        <v>70</v>
      </c>
      <c r="C74" s="12" t="n">
        <f aca="false">SUM(C70:C73)</f>
        <v>1400000</v>
      </c>
      <c r="D74" s="12" t="n">
        <f aca="false">SUM(D70:D73)</f>
        <v>600000</v>
      </c>
      <c r="E74" s="12" t="n">
        <f aca="false">SUM(E70:E73)</f>
        <v>600000</v>
      </c>
      <c r="F74" s="12" t="n">
        <f aca="false">SUM(F70:F73)</f>
        <v>600000</v>
      </c>
      <c r="G74" s="12" t="n">
        <f aca="false">SUM(G70:G73)</f>
        <v>600000</v>
      </c>
      <c r="H74" s="12" t="n">
        <f aca="false">SUM(H70:H73)</f>
        <v>600000</v>
      </c>
      <c r="I74" s="12" t="n">
        <f aca="false">SUM(I70:I73)</f>
        <v>600000</v>
      </c>
      <c r="J74" s="12" t="n">
        <f aca="false">SUM(J70:J73)</f>
        <v>600000</v>
      </c>
      <c r="K74" s="12" t="n">
        <f aca="false">SUM(K70:K73)</f>
        <v>600000</v>
      </c>
      <c r="L74" s="12" t="n">
        <f aca="false">SUM(L70:L73)</f>
        <v>600000</v>
      </c>
      <c r="M74" s="12" t="n">
        <f aca="false">SUM(M70:M73)</f>
        <v>600000</v>
      </c>
      <c r="N74" s="12" t="n">
        <f aca="false">SUM(N70:N73)</f>
        <v>600000</v>
      </c>
      <c r="O74" s="12" t="n">
        <f aca="false">SUM(O70:O73)</f>
        <v>1260000</v>
      </c>
      <c r="P74" s="12" t="n">
        <f aca="false">SUM(P70:P73)</f>
        <v>1260000</v>
      </c>
      <c r="Q74" s="12" t="n">
        <f aca="false">SUM(Q70:Q73)</f>
        <v>1260000</v>
      </c>
      <c r="R74" s="12" t="n">
        <f aca="false">SUM(R70:R73)</f>
        <v>1260000</v>
      </c>
      <c r="S74" s="12" t="n">
        <f aca="false">SUM(S70:S73)</f>
        <v>1260000</v>
      </c>
      <c r="T74" s="12" t="n">
        <f aca="false">SUM(T70:T73)</f>
        <v>1260000</v>
      </c>
      <c r="U74" s="12" t="n">
        <f aca="false">SUM(U70:U73)</f>
        <v>1260000</v>
      </c>
      <c r="V74" s="12" t="n">
        <f aca="false">SUM(V70:V73)</f>
        <v>1260000</v>
      </c>
      <c r="W74" s="12" t="n">
        <f aca="false">SUM(W70:W73)</f>
        <v>1260000</v>
      </c>
      <c r="X74" s="12" t="n">
        <f aca="false">SUM(X70:X73)</f>
        <v>1260000</v>
      </c>
      <c r="Y74" s="12" t="n">
        <f aca="false">SUM(Y70:Y73)</f>
        <v>1260000</v>
      </c>
      <c r="Z74" s="12" t="n">
        <f aca="false">SUM(Z70:Z73)</f>
        <v>1260000</v>
      </c>
      <c r="AA74" s="12" t="n">
        <f aca="false">SUM(AA70:AA73)</f>
        <v>1840000</v>
      </c>
      <c r="AB74" s="12" t="n">
        <f aca="false">SUM(AB70:AB73)</f>
        <v>1840000</v>
      </c>
      <c r="AC74" s="12" t="n">
        <f aca="false">SUM(AC70:AC73)</f>
        <v>1840000</v>
      </c>
      <c r="AD74" s="12" t="n">
        <f aca="false">SUM(AD70:AD73)</f>
        <v>1840000</v>
      </c>
      <c r="AE74" s="12" t="n">
        <f aca="false">SUM(AE70:AE73)</f>
        <v>1840000</v>
      </c>
      <c r="AF74" s="12" t="n">
        <f aca="false">SUM(AF70:AF73)</f>
        <v>1840000</v>
      </c>
      <c r="AG74" s="12" t="n">
        <f aca="false">SUM(AG70:AG73)</f>
        <v>1840000</v>
      </c>
      <c r="AH74" s="12" t="n">
        <f aca="false">SUM(AH70:AH73)</f>
        <v>1840000</v>
      </c>
      <c r="AI74" s="12" t="n">
        <f aca="false">SUM(AI70:AI73)</f>
        <v>1840000</v>
      </c>
      <c r="AJ74" s="12" t="n">
        <f aca="false">SUM(AJ70:AJ73)</f>
        <v>1840000</v>
      </c>
      <c r="AK74" s="12" t="n">
        <f aca="false">SUM(AK70:AK73)</f>
        <v>1840000</v>
      </c>
      <c r="AL74" s="12" t="n">
        <f aca="false">SUM(AL70:AL73)</f>
        <v>1840000</v>
      </c>
    </row>
    <row r="75" customFormat="false" ht="15" hidden="false" customHeight="false" outlineLevel="0" collapsed="false">
      <c r="A75" s="31" t="s">
        <v>150</v>
      </c>
      <c r="B75" s="32" t="s">
        <v>70</v>
      </c>
      <c r="C75" s="33" t="n">
        <f aca="false">C69-C74</f>
        <v>-1238807.3</v>
      </c>
      <c r="D75" s="33" t="n">
        <f aca="false">D69-D74</f>
        <v>-362442.258375</v>
      </c>
      <c r="E75" s="33" t="n">
        <f aca="false">E69-E74</f>
        <v>-249862.254331875</v>
      </c>
      <c r="F75" s="33" t="n">
        <f aca="false">F69-F74</f>
        <v>164629.082616234</v>
      </c>
      <c r="G75" s="33" t="n">
        <f aca="false">G69-G74</f>
        <v>433293.733697133</v>
      </c>
      <c r="H75" s="33" t="n">
        <f aca="false">H69-H74</f>
        <v>729565.544201164</v>
      </c>
      <c r="I75" s="33" t="n">
        <f aca="false">I69-I74</f>
        <v>1051888.11683363</v>
      </c>
      <c r="J75" s="33" t="n">
        <f aca="false">J69-J74</f>
        <v>542160.104765819</v>
      </c>
      <c r="K75" s="33" t="n">
        <f aca="false">K69-K74</f>
        <v>821299.351236392</v>
      </c>
      <c r="L75" s="33" t="n">
        <f aca="false">L69-L74</f>
        <v>1125439.62382569</v>
      </c>
      <c r="M75" s="33" t="n">
        <f aca="false">M69-M74</f>
        <v>1266540.11199179</v>
      </c>
      <c r="N75" s="33" t="n">
        <f aca="false">N69-N74</f>
        <v>1402702.08307208</v>
      </c>
      <c r="O75" s="33" t="n">
        <f aca="false">O69-O74</f>
        <v>543994.328131642</v>
      </c>
      <c r="P75" s="33" t="n">
        <f aca="false">P69-P74</f>
        <v>239072.134985277</v>
      </c>
      <c r="Q75" s="33" t="n">
        <f aca="false">Q69-Q74</f>
        <v>380035.850260792</v>
      </c>
      <c r="R75" s="33" t="n">
        <f aca="false">R69-R74</f>
        <v>1700109.72583611</v>
      </c>
      <c r="S75" s="33" t="n">
        <f aca="false">S69-S74</f>
        <v>2236780.41397503</v>
      </c>
      <c r="T75" s="33" t="n">
        <f aca="false">T69-T74</f>
        <v>2808018.58853007</v>
      </c>
      <c r="U75" s="33" t="n">
        <f aca="false">U69-U74</f>
        <v>3411875.45275915</v>
      </c>
      <c r="V75" s="33" t="n">
        <f aca="false">V69-V74</f>
        <v>1772283.58886928</v>
      </c>
      <c r="W75" s="33" t="n">
        <f aca="false">W69-W74</f>
        <v>2322069.73116621</v>
      </c>
      <c r="X75" s="33" t="n">
        <f aca="false">X69-X74</f>
        <v>2903160.16730599</v>
      </c>
      <c r="Y75" s="33" t="n">
        <f aca="false">Y69-Y74</f>
        <v>3079834.96145028</v>
      </c>
      <c r="Z75" s="33" t="n">
        <f aca="false">Z69-Z74</f>
        <v>3250326.13779952</v>
      </c>
      <c r="AA75" s="33" t="n">
        <f aca="false">AA69-AA74</f>
        <v>1996595.71838123</v>
      </c>
      <c r="AB75" s="33" t="n">
        <f aca="false">AB69-AB74</f>
        <v>1202704.10617842</v>
      </c>
      <c r="AC75" s="33" t="n">
        <f aca="false">AC69-AC74</f>
        <v>1362177.41746217</v>
      </c>
      <c r="AD75" s="33" t="n">
        <f aca="false">AD69-AD74</f>
        <v>3753448.60475166</v>
      </c>
      <c r="AE75" s="33" t="n">
        <f aca="false">AE69-AE74</f>
        <v>4585053.61144389</v>
      </c>
      <c r="AF75" s="33" t="n">
        <f aca="false">AF69-AF74</f>
        <v>5455765.07550184</v>
      </c>
      <c r="AG75" s="33" t="n">
        <f aca="false">AG69-AG74</f>
        <v>6363378.30851421</v>
      </c>
      <c r="AH75" s="33" t="n">
        <f aca="false">AH69-AH74</f>
        <v>3386168.59705613</v>
      </c>
      <c r="AI75" s="33" t="n">
        <f aca="false">AI69-AI74</f>
        <v>4232611.21567906</v>
      </c>
      <c r="AJ75" s="33" t="n">
        <f aca="false">AJ69-AJ74</f>
        <v>5114468.617367</v>
      </c>
      <c r="AK75" s="33" t="n">
        <f aca="false">AK69-AK74</f>
        <v>5314342.14075915</v>
      </c>
      <c r="AL75" s="33" t="n">
        <f aca="false">AL69-AL74</f>
        <v>5507220.09083258</v>
      </c>
    </row>
    <row r="76" customFormat="false" ht="15" hidden="false" customHeight="false" outlineLevel="0" collapsed="false">
      <c r="A76" s="31" t="s">
        <v>151</v>
      </c>
      <c r="B76" s="32" t="s">
        <v>70</v>
      </c>
      <c r="C76" s="33" t="n">
        <f aca="false">C75</f>
        <v>-1238807.3</v>
      </c>
      <c r="D76" s="33" t="n">
        <f aca="false">C76+D75</f>
        <v>-1601249.558375</v>
      </c>
      <c r="E76" s="33" t="n">
        <f aca="false">D76+E75</f>
        <v>-1851111.81270688</v>
      </c>
      <c r="F76" s="33" t="n">
        <f aca="false">E76+F75</f>
        <v>-1686482.73009064</v>
      </c>
      <c r="G76" s="33" t="n">
        <f aca="false">F76+G75</f>
        <v>-1253188.99639351</v>
      </c>
      <c r="H76" s="33" t="n">
        <f aca="false">G76+H75</f>
        <v>-523623.452192344</v>
      </c>
      <c r="I76" s="33" t="n">
        <f aca="false">H76+I75</f>
        <v>528264.66464129</v>
      </c>
      <c r="J76" s="33" t="n">
        <f aca="false">I76+J75</f>
        <v>1070424.76940711</v>
      </c>
      <c r="K76" s="33" t="n">
        <f aca="false">J76+K75</f>
        <v>1891724.1206435</v>
      </c>
      <c r="L76" s="33" t="n">
        <f aca="false">K76+L75</f>
        <v>3017163.74446919</v>
      </c>
      <c r="M76" s="33" t="n">
        <f aca="false">L76+M75</f>
        <v>4283703.85646098</v>
      </c>
      <c r="N76" s="33" t="n">
        <f aca="false">M76+N75</f>
        <v>5686405.93953305</v>
      </c>
      <c r="O76" s="33" t="n">
        <f aca="false">N76+O75</f>
        <v>6230400.2676647</v>
      </c>
      <c r="P76" s="33" t="n">
        <f aca="false">O76+P75</f>
        <v>6469472.40264997</v>
      </c>
      <c r="Q76" s="33" t="n">
        <f aca="false">P76+Q75</f>
        <v>6849508.25291076</v>
      </c>
      <c r="R76" s="33" t="n">
        <f aca="false">Q76+R75</f>
        <v>8549617.97874687</v>
      </c>
      <c r="S76" s="33" t="n">
        <f aca="false">R76+S75</f>
        <v>10786398.3927219</v>
      </c>
      <c r="T76" s="33" t="n">
        <f aca="false">S76+T75</f>
        <v>13594416.981252</v>
      </c>
      <c r="U76" s="33" t="n">
        <f aca="false">T76+U75</f>
        <v>17006292.4340111</v>
      </c>
      <c r="V76" s="33" t="n">
        <f aca="false">U76+V75</f>
        <v>18778576.0228804</v>
      </c>
      <c r="W76" s="33" t="n">
        <f aca="false">V76+W75</f>
        <v>21100645.7540466</v>
      </c>
      <c r="X76" s="33" t="n">
        <f aca="false">W76+X75</f>
        <v>24003805.9213526</v>
      </c>
      <c r="Y76" s="33" t="n">
        <f aca="false">X76+Y75</f>
        <v>27083640.8828029</v>
      </c>
      <c r="Z76" s="33" t="n">
        <f aca="false">Y76+Z75</f>
        <v>30333967.0206024</v>
      </c>
      <c r="AA76" s="33" t="n">
        <f aca="false">Z76+AA75</f>
        <v>32330562.7389836</v>
      </c>
      <c r="AB76" s="33" t="n">
        <f aca="false">AA76+AB75</f>
        <v>33533266.8451621</v>
      </c>
      <c r="AC76" s="33" t="n">
        <f aca="false">AB76+AC75</f>
        <v>34895444.2626242</v>
      </c>
      <c r="AD76" s="33" t="n">
        <f aca="false">AC76+AD75</f>
        <v>38648892.8673759</v>
      </c>
      <c r="AE76" s="33" t="n">
        <f aca="false">AD76+AE75</f>
        <v>43233946.4788198</v>
      </c>
      <c r="AF76" s="33" t="n">
        <f aca="false">AE76+AF75</f>
        <v>48689711.5543216</v>
      </c>
      <c r="AG76" s="33" t="n">
        <f aca="false">AF76+AG75</f>
        <v>55053089.8628358</v>
      </c>
      <c r="AH76" s="33" t="n">
        <f aca="false">AG76+AH75</f>
        <v>58439258.459892</v>
      </c>
      <c r="AI76" s="33" t="n">
        <f aca="false">AH76+AI75</f>
        <v>62671869.675571</v>
      </c>
      <c r="AJ76" s="33" t="n">
        <f aca="false">AI76+AJ75</f>
        <v>67786338.292938</v>
      </c>
      <c r="AK76" s="33" t="n">
        <f aca="false">AJ76+AK75</f>
        <v>73100680.4336972</v>
      </c>
      <c r="AL76" s="33" t="n">
        <f aca="false">AK76+AL75</f>
        <v>78607900.5245298</v>
      </c>
    </row>
    <row r="77" customFormat="false" ht="15" hidden="false" customHeight="false" outlineLevel="0" collapsed="false">
      <c r="A77" s="3" t="s">
        <v>152</v>
      </c>
      <c r="B77" s="3"/>
      <c r="C77" s="34" t="str">
        <f aca="false">IF(C75&gt;0,C$4,"")</f>
        <v/>
      </c>
      <c r="D77" s="34" t="str">
        <f aca="false">IF(D75&gt;0,D$4,"")</f>
        <v/>
      </c>
      <c r="E77" s="34" t="str">
        <f aca="false">IF(E75&gt;0,E$4,"")</f>
        <v/>
      </c>
      <c r="F77" s="34" t="n">
        <f aca="false">IF(F75&gt;0,F$4,"")</f>
        <v>4</v>
      </c>
      <c r="G77" s="34" t="n">
        <f aca="false">IF(G75&gt;0,G$4,"")</f>
        <v>5</v>
      </c>
      <c r="H77" s="34" t="n">
        <f aca="false">IF(H75&gt;0,H$4,"")</f>
        <v>6</v>
      </c>
      <c r="I77" s="34" t="n">
        <f aca="false">IF(I75&gt;0,I$4,"")</f>
        <v>7</v>
      </c>
      <c r="J77" s="34" t="n">
        <f aca="false">IF(J75&gt;0,J$4,"")</f>
        <v>8</v>
      </c>
      <c r="K77" s="34" t="n">
        <f aca="false">IF(K75&gt;0,K$4,"")</f>
        <v>9</v>
      </c>
      <c r="L77" s="34" t="n">
        <f aca="false">IF(L75&gt;0,L$4,"")</f>
        <v>10</v>
      </c>
      <c r="M77" s="34" t="n">
        <f aca="false">IF(M75&gt;0,M$4,"")</f>
        <v>11</v>
      </c>
      <c r="N77" s="34" t="n">
        <f aca="false">IF(N75&gt;0,N$4,"")</f>
        <v>12</v>
      </c>
      <c r="O77" s="34" t="n">
        <f aca="false">IF(O75&gt;0,O$4,"")</f>
        <v>13</v>
      </c>
      <c r="P77" s="34" t="n">
        <f aca="false">IF(P75&gt;0,P$4,"")</f>
        <v>14</v>
      </c>
      <c r="Q77" s="34" t="n">
        <f aca="false">IF(Q75&gt;0,Q$4,"")</f>
        <v>15</v>
      </c>
      <c r="R77" s="34" t="n">
        <f aca="false">IF(R75&gt;0,R$4,"")</f>
        <v>16</v>
      </c>
      <c r="S77" s="34" t="n">
        <f aca="false">IF(S75&gt;0,S$4,"")</f>
        <v>17</v>
      </c>
      <c r="T77" s="34" t="n">
        <f aca="false">IF(T75&gt;0,T$4,"")</f>
        <v>18</v>
      </c>
      <c r="U77" s="34" t="n">
        <f aca="false">IF(U75&gt;0,U$4,"")</f>
        <v>19</v>
      </c>
      <c r="V77" s="34" t="n">
        <f aca="false">IF(V75&gt;0,V$4,"")</f>
        <v>20</v>
      </c>
      <c r="W77" s="34" t="n">
        <f aca="false">IF(W75&gt;0,W$4,"")</f>
        <v>21</v>
      </c>
      <c r="X77" s="34" t="n">
        <f aca="false">IF(X75&gt;0,X$4,"")</f>
        <v>22</v>
      </c>
      <c r="Y77" s="34" t="n">
        <f aca="false">IF(Y75&gt;0,Y$4,"")</f>
        <v>23</v>
      </c>
      <c r="Z77" s="34" t="n">
        <f aca="false">IF(Z75&gt;0,Z$4,"")</f>
        <v>24</v>
      </c>
      <c r="AA77" s="34" t="n">
        <f aca="false">IF(AA75&gt;0,AA$4,"")</f>
        <v>25</v>
      </c>
      <c r="AB77" s="34" t="n">
        <f aca="false">IF(AB75&gt;0,AB$4,"")</f>
        <v>26</v>
      </c>
      <c r="AC77" s="34" t="n">
        <f aca="false">IF(AC75&gt;0,AC$4,"")</f>
        <v>27</v>
      </c>
      <c r="AD77" s="34" t="n">
        <f aca="false">IF(AD75&gt;0,AD$4,"")</f>
        <v>28</v>
      </c>
      <c r="AE77" s="34" t="n">
        <f aca="false">IF(AE75&gt;0,AE$4,"")</f>
        <v>29</v>
      </c>
      <c r="AF77" s="34" t="n">
        <f aca="false">IF(AF75&gt;0,AF$4,"")</f>
        <v>30</v>
      </c>
      <c r="AG77" s="34" t="n">
        <f aca="false">IF(AG75&gt;0,AG$4,"")</f>
        <v>31</v>
      </c>
      <c r="AH77" s="34" t="n">
        <f aca="false">IF(AH75&gt;0,AH$4,"")</f>
        <v>32</v>
      </c>
      <c r="AI77" s="34" t="n">
        <f aca="false">IF(AI75&gt;0,AI$4,"")</f>
        <v>33</v>
      </c>
      <c r="AJ77" s="34" t="n">
        <f aca="false">IF(AJ75&gt;0,AJ$4,"")</f>
        <v>34</v>
      </c>
      <c r="AK77" s="34" t="n">
        <f aca="false">IF(AK75&gt;0,AK$4,"")</f>
        <v>35</v>
      </c>
      <c r="AL77" s="34" t="n">
        <f aca="false">IF(AL75&gt;0,AL$4,"")</f>
        <v>36</v>
      </c>
    </row>
    <row r="78" customFormat="false" ht="15" hidden="false" customHeight="false" outlineLevel="0" collapsed="false">
      <c r="A78" s="3" t="s">
        <v>153</v>
      </c>
      <c r="B78" s="3"/>
      <c r="C78" s="34" t="str">
        <f aca="false">IF(C76&gt;=0,C$4,"")</f>
        <v/>
      </c>
      <c r="D78" s="34" t="str">
        <f aca="false">IF(D76&gt;=0,D$4,"")</f>
        <v/>
      </c>
      <c r="E78" s="34" t="str">
        <f aca="false">IF(E76&gt;=0,E$4,"")</f>
        <v/>
      </c>
      <c r="F78" s="34" t="str">
        <f aca="false">IF(F76&gt;=0,F$4,"")</f>
        <v/>
      </c>
      <c r="G78" s="34" t="str">
        <f aca="false">IF(G76&gt;=0,G$4,"")</f>
        <v/>
      </c>
      <c r="H78" s="34" t="str">
        <f aca="false">IF(H76&gt;=0,H$4,"")</f>
        <v/>
      </c>
      <c r="I78" s="34" t="n">
        <f aca="false">IF(I76&gt;=0,I$4,"")</f>
        <v>7</v>
      </c>
      <c r="J78" s="34" t="n">
        <f aca="false">IF(J76&gt;=0,J$4,"")</f>
        <v>8</v>
      </c>
      <c r="K78" s="34" t="n">
        <f aca="false">IF(K76&gt;=0,K$4,"")</f>
        <v>9</v>
      </c>
      <c r="L78" s="34" t="n">
        <f aca="false">IF(L76&gt;=0,L$4,"")</f>
        <v>10</v>
      </c>
      <c r="M78" s="34" t="n">
        <f aca="false">IF(M76&gt;=0,M$4,"")</f>
        <v>11</v>
      </c>
      <c r="N78" s="34" t="n">
        <f aca="false">IF(N76&gt;=0,N$4,"")</f>
        <v>12</v>
      </c>
      <c r="O78" s="34" t="n">
        <f aca="false">IF(O76&gt;=0,O$4,"")</f>
        <v>13</v>
      </c>
      <c r="P78" s="34" t="n">
        <f aca="false">IF(P76&gt;=0,P$4,"")</f>
        <v>14</v>
      </c>
      <c r="Q78" s="34" t="n">
        <f aca="false">IF(Q76&gt;=0,Q$4,"")</f>
        <v>15</v>
      </c>
      <c r="R78" s="34" t="n">
        <f aca="false">IF(R76&gt;=0,R$4,"")</f>
        <v>16</v>
      </c>
      <c r="S78" s="34" t="n">
        <f aca="false">IF(S76&gt;=0,S$4,"")</f>
        <v>17</v>
      </c>
      <c r="T78" s="34" t="n">
        <f aca="false">IF(T76&gt;=0,T$4,"")</f>
        <v>18</v>
      </c>
      <c r="U78" s="34" t="n">
        <f aca="false">IF(U76&gt;=0,U$4,"")</f>
        <v>19</v>
      </c>
      <c r="V78" s="34" t="n">
        <f aca="false">IF(V76&gt;=0,V$4,"")</f>
        <v>20</v>
      </c>
      <c r="W78" s="34" t="n">
        <f aca="false">IF(W76&gt;=0,W$4,"")</f>
        <v>21</v>
      </c>
      <c r="X78" s="34" t="n">
        <f aca="false">IF(X76&gt;=0,X$4,"")</f>
        <v>22</v>
      </c>
      <c r="Y78" s="34" t="n">
        <f aca="false">IF(Y76&gt;=0,Y$4,"")</f>
        <v>23</v>
      </c>
      <c r="Z78" s="34" t="n">
        <f aca="false">IF(Z76&gt;=0,Z$4,"")</f>
        <v>24</v>
      </c>
      <c r="AA78" s="34" t="n">
        <f aca="false">IF(AA76&gt;=0,AA$4,"")</f>
        <v>25</v>
      </c>
      <c r="AB78" s="34" t="n">
        <f aca="false">IF(AB76&gt;=0,AB$4,"")</f>
        <v>26</v>
      </c>
      <c r="AC78" s="34" t="n">
        <f aca="false">IF(AC76&gt;=0,AC$4,"")</f>
        <v>27</v>
      </c>
      <c r="AD78" s="34" t="n">
        <f aca="false">IF(AD76&gt;=0,AD$4,"")</f>
        <v>28</v>
      </c>
      <c r="AE78" s="34" t="n">
        <f aca="false">IF(AE76&gt;=0,AE$4,"")</f>
        <v>29</v>
      </c>
      <c r="AF78" s="34" t="n">
        <f aca="false">IF(AF76&gt;=0,AF$4,"")</f>
        <v>30</v>
      </c>
      <c r="AG78" s="34" t="n">
        <f aca="false">IF(AG76&gt;=0,AG$4,"")</f>
        <v>31</v>
      </c>
      <c r="AH78" s="34" t="n">
        <f aca="false">IF(AH76&gt;=0,AH$4,"")</f>
        <v>32</v>
      </c>
      <c r="AI78" s="34" t="n">
        <f aca="false">IF(AI76&gt;=0,AI$4,"")</f>
        <v>33</v>
      </c>
      <c r="AJ78" s="34" t="n">
        <f aca="false">IF(AJ76&gt;=0,AJ$4,"")</f>
        <v>34</v>
      </c>
      <c r="AK78" s="34" t="n">
        <f aca="false">IF(AK76&gt;=0,AK$4,"")</f>
        <v>35</v>
      </c>
      <c r="AL78" s="34" t="n">
        <f aca="false">IF(AL76&gt;=0,AL$4,"")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6"/>
    <col collapsed="false" customWidth="true" hidden="false" outlineLevel="0" max="6" min="3" style="0" width="20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156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157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/>
      <c r="B4" s="4" t="s">
        <v>158</v>
      </c>
      <c r="C4" s="2"/>
      <c r="D4" s="2"/>
      <c r="E4" s="2"/>
      <c r="F4" s="2"/>
      <c r="G4" s="2"/>
    </row>
    <row r="5" customFormat="false" ht="15" hidden="false" customHeight="false" outlineLevel="0" collapsed="false">
      <c r="A5" s="2"/>
      <c r="B5" s="2" t="s">
        <v>159</v>
      </c>
      <c r="C5" s="25" t="n">
        <v>25000</v>
      </c>
      <c r="D5" s="2"/>
      <c r="E5" s="2"/>
      <c r="F5" s="2"/>
      <c r="G5" s="3" t="s">
        <v>160</v>
      </c>
    </row>
    <row r="6" customFormat="false" ht="15" hidden="false" customHeight="false" outlineLevel="0" collapsed="false">
      <c r="A6" s="2"/>
      <c r="B6" s="2" t="s">
        <v>161</v>
      </c>
      <c r="C6" s="24" t="n">
        <v>15000</v>
      </c>
      <c r="D6" s="2"/>
      <c r="E6" s="2"/>
      <c r="F6" s="2"/>
      <c r="G6" s="2"/>
    </row>
    <row r="7" customFormat="false" ht="15" hidden="false" customHeight="false" outlineLevel="0" collapsed="false">
      <c r="A7" s="2"/>
      <c r="B7" s="2" t="s">
        <v>162</v>
      </c>
      <c r="C7" s="22" t="n">
        <v>0.01</v>
      </c>
      <c r="D7" s="2"/>
      <c r="E7" s="2"/>
      <c r="F7" s="2"/>
      <c r="G7" s="3" t="s">
        <v>163</v>
      </c>
    </row>
    <row r="8" customFormat="false" ht="15" hidden="false" customHeight="false" outlineLevel="0" collapsed="false">
      <c r="A8" s="2"/>
      <c r="B8" s="2" t="s">
        <v>164</v>
      </c>
      <c r="C8" s="21" t="n">
        <v>0.5</v>
      </c>
      <c r="D8" s="2"/>
      <c r="E8" s="2"/>
      <c r="F8" s="2"/>
      <c r="G8" s="3" t="s">
        <v>165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/>
      <c r="B10" s="4" t="s">
        <v>166</v>
      </c>
      <c r="C10" s="2"/>
      <c r="D10" s="2"/>
      <c r="E10" s="2"/>
      <c r="F10" s="2"/>
      <c r="G10" s="2"/>
    </row>
    <row r="11" customFormat="false" ht="15" hidden="false" customHeight="false" outlineLevel="0" collapsed="false">
      <c r="A11" s="2"/>
      <c r="B11" s="2" t="s">
        <v>167</v>
      </c>
      <c r="C11" s="8" t="n">
        <f aca="false">SUM(План!$AA$36:$AL$36)</f>
        <v>1036.92737925212</v>
      </c>
      <c r="D11" s="2"/>
      <c r="E11" s="2"/>
      <c r="F11" s="2"/>
      <c r="G11" s="2"/>
    </row>
    <row r="12" customFormat="false" ht="15" hidden="false" customHeight="false" outlineLevel="0" collapsed="false">
      <c r="A12" s="2"/>
      <c r="B12" s="2" t="s">
        <v>138</v>
      </c>
      <c r="C12" s="8" t="n">
        <f aca="false">SUM(План!$AA$39:$AL$39)</f>
        <v>117474.11820192</v>
      </c>
      <c r="D12" s="2"/>
      <c r="E12" s="2"/>
      <c r="F12" s="2"/>
      <c r="G12" s="2"/>
    </row>
    <row r="13" customFormat="false" ht="15" hidden="false" customHeight="false" outlineLevel="0" collapsed="false">
      <c r="A13" s="2"/>
      <c r="B13" s="2" t="s">
        <v>11</v>
      </c>
      <c r="C13" s="8" t="n">
        <f aca="false">SUM(План!$AA$40:$AL$40)</f>
        <v>704844709.211518</v>
      </c>
      <c r="D13" s="2"/>
      <c r="E13" s="2"/>
      <c r="F13" s="2"/>
      <c r="G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</row>
    <row r="15" customFormat="false" ht="15" hidden="false" customHeight="false" outlineLevel="0" collapsed="false">
      <c r="A15" s="2"/>
      <c r="B15" s="5" t="s">
        <v>168</v>
      </c>
      <c r="C15" s="5" t="s">
        <v>12</v>
      </c>
      <c r="D15" s="5" t="s">
        <v>169</v>
      </c>
      <c r="E15" s="5" t="s">
        <v>170</v>
      </c>
      <c r="F15" s="2"/>
      <c r="G15" s="2"/>
    </row>
    <row r="16" customFormat="false" ht="15" hidden="false" customHeight="false" outlineLevel="0" collapsed="false">
      <c r="A16" s="2"/>
      <c r="B16" s="4" t="s">
        <v>171</v>
      </c>
      <c r="C16" s="35" t="n">
        <f aca="false">C13*Допущения!$C$6*(1-Допущения!$C$13)</f>
        <v>34184968.3967586</v>
      </c>
      <c r="D16" s="35" t="n">
        <f aca="false">IF($C$11=0,0,C16/$C$11)</f>
        <v>32967.5627057068</v>
      </c>
      <c r="E16" s="2" t="s">
        <v>172</v>
      </c>
      <c r="F16" s="2"/>
      <c r="G16" s="2"/>
    </row>
    <row r="17" customFormat="false" ht="15" hidden="false" customHeight="false" outlineLevel="0" collapsed="false">
      <c r="A17" s="2"/>
      <c r="B17" s="6" t="s">
        <v>173</v>
      </c>
      <c r="C17" s="35" t="n">
        <f aca="false">C11*C8*C5</f>
        <v>12961592.2406516</v>
      </c>
      <c r="D17" s="35" t="n">
        <f aca="false">IF($C$11=0,0,C17/$C$11)</f>
        <v>12500</v>
      </c>
      <c r="E17" s="2" t="s">
        <v>174</v>
      </c>
      <c r="F17" s="2"/>
      <c r="G17" s="2"/>
    </row>
    <row r="18" customFormat="false" ht="15" hidden="false" customHeight="false" outlineLevel="0" collapsed="false">
      <c r="A18" s="2"/>
      <c r="B18" s="6" t="s">
        <v>175</v>
      </c>
      <c r="C18" s="35" t="n">
        <f aca="false">C11*C8*C6+C13*C7*(1-Допущения!$C$13)</f>
        <v>14613949.0237427</v>
      </c>
      <c r="D18" s="35" t="n">
        <f aca="false">IF($C$11=0,0,C18/$C$11)</f>
        <v>14093.5125411414</v>
      </c>
      <c r="E18" s="2" t="s">
        <v>174</v>
      </c>
      <c r="F18" s="2"/>
      <c r="G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</row>
    <row r="20" customFormat="false" ht="15" hidden="false" customHeight="false" outlineLevel="0" collapsed="false">
      <c r="A20" s="2"/>
      <c r="B20" s="4" t="s">
        <v>176</v>
      </c>
      <c r="C20" s="2"/>
      <c r="D20" s="2"/>
      <c r="E20" s="2"/>
      <c r="F20" s="2"/>
      <c r="G20" s="2"/>
    </row>
    <row r="21" customFormat="false" ht="15" hidden="false" customHeight="false" outlineLevel="0" collapsed="false">
      <c r="A21" s="2"/>
      <c r="B21" s="2" t="s">
        <v>177</v>
      </c>
      <c r="C21" s="36" t="n">
        <f aca="false">IF(Допущения!$D$22*Допущения!$C$6*(1-Допущения!$C$13)=0,0,C5/(Допущения!$D$22*Допущения!$C$6*(1-Допущения!$C$13)))</f>
        <v>85.9106529209622</v>
      </c>
      <c r="D21" s="2"/>
      <c r="E21" s="2"/>
      <c r="F21" s="2"/>
      <c r="G21" s="3" t="s">
        <v>178</v>
      </c>
    </row>
    <row r="22" customFormat="false" ht="15" hidden="false" customHeight="false" outlineLevel="0" collapsed="false">
      <c r="A22" s="2"/>
      <c r="B22" s="2" t="s">
        <v>179</v>
      </c>
      <c r="C22" s="7" t="n">
        <f aca="false">'Юнит-экономика'!D15*(1-Допущения!$C$12)</f>
        <v>111.87</v>
      </c>
      <c r="D22" s="2"/>
      <c r="E22" s="2"/>
      <c r="F22" s="2"/>
      <c r="G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</row>
    <row r="24" customFormat="false" ht="15" hidden="false" customHeight="false" outlineLevel="0" collapsed="false">
      <c r="A24" s="2"/>
      <c r="B24" s="4" t="s">
        <v>180</v>
      </c>
      <c r="C24" s="2"/>
      <c r="D24" s="2"/>
      <c r="E24" s="2"/>
      <c r="F24" s="2"/>
      <c r="G24" s="2"/>
    </row>
    <row r="25" customFormat="false" ht="15" hidden="false" customHeight="true" outlineLevel="0" collapsed="false">
      <c r="A25" s="2"/>
      <c r="B25" s="37" t="s">
        <v>181</v>
      </c>
      <c r="C25" s="37"/>
      <c r="D25" s="37"/>
      <c r="E25" s="37"/>
      <c r="F25" s="37"/>
      <c r="G25" s="37"/>
    </row>
    <row r="26" customFormat="false" ht="15" hidden="false" customHeight="false" outlineLevel="0" collapsed="false">
      <c r="A26" s="2"/>
      <c r="B26" s="37"/>
      <c r="C26" s="37"/>
      <c r="D26" s="37"/>
      <c r="E26" s="37"/>
      <c r="F26" s="37"/>
      <c r="G26" s="37"/>
    </row>
    <row r="27" customFormat="false" ht="15" hidden="false" customHeight="false" outlineLevel="0" collapsed="false">
      <c r="A27" s="2"/>
      <c r="B27" s="37"/>
      <c r="C27" s="37"/>
      <c r="D27" s="37"/>
      <c r="E27" s="37"/>
      <c r="F27" s="37"/>
      <c r="G27" s="37"/>
    </row>
    <row r="28" customFormat="false" ht="15" hidden="false" customHeight="false" outlineLevel="0" collapsed="false">
      <c r="A28" s="2"/>
      <c r="B28" s="37"/>
      <c r="C28" s="37"/>
      <c r="D28" s="37"/>
      <c r="E28" s="37"/>
      <c r="F28" s="37"/>
      <c r="G28" s="37"/>
    </row>
  </sheetData>
  <mergeCells count="1">
    <mergeCell ref="B25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8" min="3" style="0" width="16"/>
  </cols>
  <sheetData>
    <row r="1" customFormat="false" ht="17.35" hidden="false" customHeight="false" outlineLevel="0" collapsed="false">
      <c r="A1" s="1" t="s">
        <v>182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183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6.85" hidden="false" customHeight="false" outlineLevel="0" collapsed="false">
      <c r="A4" s="2"/>
      <c r="B4" s="5" t="s">
        <v>184</v>
      </c>
      <c r="C4" s="38" t="s">
        <v>185</v>
      </c>
      <c r="D4" s="38" t="s">
        <v>186</v>
      </c>
      <c r="E4" s="38" t="s">
        <v>187</v>
      </c>
      <c r="F4" s="38" t="s">
        <v>188</v>
      </c>
      <c r="G4" s="38" t="s">
        <v>189</v>
      </c>
      <c r="H4" s="38" t="s">
        <v>190</v>
      </c>
    </row>
    <row r="5" customFormat="false" ht="15" hidden="false" customHeight="false" outlineLevel="0" collapsed="false">
      <c r="A5" s="2"/>
      <c r="B5" s="2" t="s">
        <v>191</v>
      </c>
      <c r="C5" s="24" t="n">
        <v>60</v>
      </c>
      <c r="D5" s="24" t="n">
        <v>100</v>
      </c>
      <c r="E5" s="24" t="n">
        <v>80</v>
      </c>
      <c r="F5" s="24" t="n">
        <v>5000</v>
      </c>
      <c r="G5" s="35" t="n">
        <f aca="false">C5*D5*E5*F5</f>
        <v>2400000000</v>
      </c>
      <c r="H5" s="35" t="n">
        <f aca="false">G5*Допущения!$C$6</f>
        <v>120000000</v>
      </c>
    </row>
    <row r="6" customFormat="false" ht="15" hidden="false" customHeight="false" outlineLevel="0" collapsed="false">
      <c r="A6" s="2"/>
      <c r="B6" s="2" t="s">
        <v>192</v>
      </c>
      <c r="C6" s="24" t="n">
        <v>300</v>
      </c>
      <c r="D6" s="24" t="n">
        <v>24</v>
      </c>
      <c r="E6" s="24" t="n">
        <v>200</v>
      </c>
      <c r="F6" s="24" t="n">
        <v>7000</v>
      </c>
      <c r="G6" s="35" t="n">
        <f aca="false">C6*D6*E6*F6</f>
        <v>10080000000</v>
      </c>
      <c r="H6" s="35" t="n">
        <f aca="false">G6*Допущения!$C$6</f>
        <v>504000000</v>
      </c>
    </row>
    <row r="7" customFormat="false" ht="15" hidden="false" customHeight="false" outlineLevel="0" collapsed="false">
      <c r="A7" s="2"/>
      <c r="B7" s="2" t="s">
        <v>193</v>
      </c>
      <c r="C7" s="24" t="n">
        <v>80</v>
      </c>
      <c r="D7" s="24" t="n">
        <v>60</v>
      </c>
      <c r="E7" s="24" t="n">
        <v>120</v>
      </c>
      <c r="F7" s="24" t="n">
        <v>5000</v>
      </c>
      <c r="G7" s="35" t="n">
        <f aca="false">C7*D7*E7*F7</f>
        <v>2880000000</v>
      </c>
      <c r="H7" s="35" t="n">
        <f aca="false">G7*Допущения!$C$6</f>
        <v>144000000</v>
      </c>
    </row>
    <row r="8" customFormat="false" ht="15" hidden="false" customHeight="false" outlineLevel="0" collapsed="false">
      <c r="A8" s="2"/>
      <c r="B8" s="2" t="s">
        <v>194</v>
      </c>
      <c r="C8" s="24" t="n">
        <v>200</v>
      </c>
      <c r="D8" s="24" t="n">
        <v>6</v>
      </c>
      <c r="E8" s="24" t="n">
        <v>150</v>
      </c>
      <c r="F8" s="24" t="n">
        <v>15000</v>
      </c>
      <c r="G8" s="35" t="n">
        <f aca="false">C8*D8*E8*F8</f>
        <v>2700000000</v>
      </c>
      <c r="H8" s="35" t="n">
        <f aca="false">G8*Допущения!$C$6</f>
        <v>135000000</v>
      </c>
    </row>
    <row r="9" customFormat="false" ht="15" hidden="false" customHeight="false" outlineLevel="0" collapsed="false">
      <c r="A9" s="2"/>
      <c r="B9" s="2" t="s">
        <v>195</v>
      </c>
      <c r="C9" s="24" t="n">
        <v>50</v>
      </c>
      <c r="D9" s="24" t="n">
        <v>2</v>
      </c>
      <c r="E9" s="24" t="n">
        <v>1500</v>
      </c>
      <c r="F9" s="24" t="n">
        <v>8000</v>
      </c>
      <c r="G9" s="35" t="n">
        <f aca="false">C9*D9*E9*F9</f>
        <v>1200000000</v>
      </c>
      <c r="H9" s="35" t="n">
        <f aca="false">G9*Допущения!$C$6</f>
        <v>60000000</v>
      </c>
    </row>
    <row r="10" customFormat="false" ht="15" hidden="false" customHeight="false" outlineLevel="0" collapsed="false">
      <c r="A10" s="2"/>
      <c r="B10" s="2" t="s">
        <v>196</v>
      </c>
      <c r="C10" s="24" t="n">
        <v>600</v>
      </c>
      <c r="D10" s="24" t="n">
        <v>24</v>
      </c>
      <c r="E10" s="24" t="n">
        <v>30</v>
      </c>
      <c r="F10" s="24" t="n">
        <v>4000</v>
      </c>
      <c r="G10" s="35" t="n">
        <f aca="false">C10*D10*E10*F10</f>
        <v>1728000000</v>
      </c>
      <c r="H10" s="35" t="n">
        <f aca="false">G10*Допущения!$C$6</f>
        <v>86400000</v>
      </c>
    </row>
    <row r="11" customFormat="false" ht="15" hidden="false" customHeight="false" outlineLevel="0" collapsed="false">
      <c r="A11" s="2"/>
      <c r="B11" s="4" t="s">
        <v>197</v>
      </c>
      <c r="C11" s="13" t="n">
        <f aca="false">SUM(C5:C10)</f>
        <v>1290</v>
      </c>
      <c r="D11" s="2"/>
      <c r="E11" s="2"/>
      <c r="F11" s="2"/>
      <c r="G11" s="13" t="n">
        <f aca="false">SUM(G5:G10)</f>
        <v>20988000000</v>
      </c>
      <c r="H11" s="13" t="n">
        <f aca="false">SUM(H5:H10)</f>
        <v>1049400000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2"/>
      <c r="B13" s="4" t="s">
        <v>198</v>
      </c>
      <c r="C13" s="39" t="n">
        <f aca="false">IF(G11=0,0,SUM(План!$AA$40:$AL$40)/G11)</f>
        <v>0.0335832241857975</v>
      </c>
      <c r="D13" s="2"/>
      <c r="E13" s="2"/>
      <c r="F13" s="2"/>
      <c r="G13" s="2"/>
      <c r="H13" s="2"/>
    </row>
    <row r="14" customFormat="false" ht="15" hidden="false" customHeight="false" outlineLevel="0" collapsed="false">
      <c r="A14" s="2"/>
      <c r="B14" s="4" t="s">
        <v>199</v>
      </c>
      <c r="C14" s="39" t="n">
        <f aca="false">IF(C11=0,0,План!AL36/C11)</f>
        <v>0.0794974893500609</v>
      </c>
      <c r="D14" s="2"/>
      <c r="E14" s="2"/>
      <c r="F14" s="2"/>
      <c r="G14" s="2"/>
      <c r="H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2"/>
      <c r="B16" s="4" t="s">
        <v>200</v>
      </c>
      <c r="C16" s="2"/>
      <c r="D16" s="2"/>
      <c r="E16" s="2"/>
      <c r="F16" s="2"/>
      <c r="G16" s="2"/>
      <c r="H16" s="2"/>
    </row>
    <row r="17" customFormat="false" ht="15" hidden="false" customHeight="false" outlineLevel="0" collapsed="false">
      <c r="A17" s="2"/>
      <c r="B17" s="2" t="s">
        <v>201</v>
      </c>
      <c r="C17" s="24" t="n">
        <v>42810</v>
      </c>
      <c r="D17" s="3" t="s">
        <v>202</v>
      </c>
      <c r="E17" s="2"/>
      <c r="F17" s="2"/>
      <c r="G17" s="2"/>
      <c r="H17" s="2"/>
    </row>
    <row r="18" customFormat="false" ht="15" hidden="false" customHeight="false" outlineLevel="0" collapsed="false">
      <c r="A18" s="2"/>
      <c r="B18" s="2" t="s">
        <v>203</v>
      </c>
      <c r="C18" s="40" t="n">
        <v>11.9</v>
      </c>
      <c r="D18" s="2"/>
      <c r="E18" s="2"/>
      <c r="F18" s="2"/>
      <c r="G18" s="2"/>
      <c r="H18" s="2"/>
    </row>
    <row r="19" customFormat="false" ht="15" hidden="false" customHeight="false" outlineLevel="0" collapsed="false">
      <c r="A19" s="2"/>
      <c r="B19" s="2" t="s">
        <v>204</v>
      </c>
      <c r="C19" s="24" t="n">
        <v>480</v>
      </c>
      <c r="D19" s="2"/>
      <c r="E19" s="2"/>
      <c r="F19" s="2"/>
      <c r="G19" s="2"/>
      <c r="H19" s="2"/>
    </row>
    <row r="20" customFormat="false" ht="15" hidden="false" customHeight="false" outlineLevel="0" collapsed="false">
      <c r="A20" s="2"/>
      <c r="B20" s="4" t="s">
        <v>205</v>
      </c>
      <c r="C20" s="35" t="n">
        <f aca="false">C17*C18*C19*12</f>
        <v>2934368640</v>
      </c>
      <c r="D20" s="2"/>
      <c r="E20" s="2"/>
      <c r="F20" s="2"/>
      <c r="G20" s="2"/>
      <c r="H20" s="2"/>
    </row>
    <row r="21" customFormat="false" ht="15" hidden="false" customHeight="false" outlineLevel="0" collapsed="false">
      <c r="A21" s="2"/>
      <c r="B21" s="4" t="s">
        <v>206</v>
      </c>
      <c r="C21" s="41" t="n">
        <f aca="false">IF(C20=0,0,G11/C20)</f>
        <v>7.15247556626014</v>
      </c>
      <c r="D21" s="3" t="s">
        <v>207</v>
      </c>
      <c r="E21" s="2"/>
      <c r="F21" s="2"/>
      <c r="G21" s="2"/>
      <c r="H21" s="2"/>
    </row>
    <row r="22" customFormat="false" ht="15" hidden="false" customHeight="false" outlineLevel="0" collapsed="false">
      <c r="A22" s="2"/>
      <c r="B22" s="4" t="s">
        <v>208</v>
      </c>
      <c r="C22" s="39" t="n">
        <f aca="false">IF(C20=0,0,SUM(План!$AA$40:$AL$40)/C20)</f>
        <v>0.240203190425153</v>
      </c>
      <c r="D22" s="2"/>
      <c r="E22" s="2"/>
      <c r="F22" s="2"/>
      <c r="G22" s="2"/>
      <c r="H2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209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5" t="s">
        <v>210</v>
      </c>
      <c r="B3" s="5" t="s">
        <v>211</v>
      </c>
    </row>
    <row r="4" customFormat="false" ht="48" hidden="false" customHeight="true" outlineLevel="0" collapsed="false">
      <c r="A4" s="4" t="s">
        <v>212</v>
      </c>
      <c r="B4" s="42" t="s">
        <v>213</v>
      </c>
    </row>
    <row r="5" customFormat="false" ht="48" hidden="false" customHeight="true" outlineLevel="0" collapsed="false">
      <c r="A5" s="4" t="s">
        <v>214</v>
      </c>
      <c r="B5" s="42" t="s">
        <v>215</v>
      </c>
    </row>
    <row r="6" customFormat="false" ht="48" hidden="false" customHeight="true" outlineLevel="0" collapsed="false">
      <c r="A6" s="4" t="s">
        <v>216</v>
      </c>
      <c r="B6" s="42" t="s">
        <v>217</v>
      </c>
    </row>
    <row r="7" customFormat="false" ht="48" hidden="false" customHeight="true" outlineLevel="0" collapsed="false">
      <c r="A7" s="4" t="s">
        <v>218</v>
      </c>
      <c r="B7" s="42" t="s">
        <v>219</v>
      </c>
    </row>
    <row r="8" customFormat="false" ht="48" hidden="false" customHeight="true" outlineLevel="0" collapsed="false">
      <c r="A8" s="4" t="s">
        <v>220</v>
      </c>
      <c r="B8" s="42" t="s">
        <v>221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2"/>
      <c r="B10" s="2"/>
    </row>
    <row r="11" customFormat="false" ht="15" hidden="false" customHeight="false" outlineLevel="0" collapsed="false">
      <c r="A11" s="4" t="s">
        <v>222</v>
      </c>
      <c r="B11" s="2"/>
    </row>
    <row r="12" customFormat="false" ht="15" hidden="false" customHeight="false" outlineLevel="0" collapsed="false">
      <c r="A12" s="2" t="s">
        <v>223</v>
      </c>
      <c r="B12" s="2" t="s">
        <v>224</v>
      </c>
    </row>
    <row r="13" customFormat="false" ht="15" hidden="false" customHeight="false" outlineLevel="0" collapsed="false">
      <c r="A13" s="2" t="s">
        <v>225</v>
      </c>
      <c r="B13" s="2" t="s">
        <v>226</v>
      </c>
    </row>
    <row r="14" customFormat="false" ht="15" hidden="false" customHeight="false" outlineLevel="0" collapsed="false">
      <c r="A14" s="2" t="s">
        <v>227</v>
      </c>
      <c r="B14" s="2" t="s">
        <v>228</v>
      </c>
    </row>
    <row r="15" customFormat="false" ht="15" hidden="false" customHeight="false" outlineLevel="0" collapsed="false">
      <c r="A15" s="2" t="s">
        <v>229</v>
      </c>
      <c r="B15" s="2" t="s">
        <v>230</v>
      </c>
    </row>
    <row r="16" customFormat="false" ht="15" hidden="false" customHeight="false" outlineLevel="0" collapsed="false">
      <c r="A16" s="2" t="s">
        <v>231</v>
      </c>
      <c r="B16" s="2" t="s">
        <v>232</v>
      </c>
    </row>
    <row r="17" customFormat="false" ht="15" hidden="false" customHeight="false" outlineLevel="0" collapsed="false">
      <c r="A17" s="2" t="s">
        <v>233</v>
      </c>
      <c r="B17" s="2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2026-10-02T12:30:30Z</dcterms:created>
  <dc:creator>openpyxl</dc:creator>
  <dc:description/>
  <dc:language>en-US</dc:language>
  <cp:lastModifiedBy/>
  <dcterms:modified xsi:type="dcterms:W3CDTF">2026-10-02T12:30:35Z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