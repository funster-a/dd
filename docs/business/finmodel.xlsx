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Итоги" sheetId="1" state="visible" r:id="rId3"/>
    <sheet name="Юнит-экономика" sheetId="2" state="visible" r:id="rId4"/>
    <sheet name="Допущения" sheetId="3" state="visible" r:id="rId5"/>
    <sheet name="План" sheetId="4" state="visible" r:id="rId6"/>
    <sheet name="Сравнение моделей" sheetId="5" state="visible" r:id="rId7"/>
    <sheet name="Рынок" sheetId="6" state="visible" r:id="rId8"/>
    <sheet name="Риски и источники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<sst xmlns="http://schemas.openxmlformats.org/spreadsheetml/2006/main" count="545" uniqueCount="328">
  <si>
    <t xml:space="preserve">Финансовая модель «Партер»: итоги за три года</t>
  </si>
  <si>
    <t xml:space="preserve">Два сегмента: организаторы МСБ и крупные концерты и шоу от 2 000 мест (оба в финмодели — бизнес-решение 2026-10-09). Модель — сервисный сбор с покупателя (бизнес-решение 2026-10-02), организатор не платит; команда — только основатель; Казахстан, тенге. Строки 6–12 и ключевые выводы, кроме LTV/CAC, — оба сегмента вместе, крупный сегмент отдельно — ниже. Крупные события размазаны по месяцам равномерно, поэтому месяцы первой прибыли и окупаемости (строки 15–16) раньше реальных: в оптимистичном сценарии без крупного сегмента — 4-й и 7-й, в базовом первая прибыль — 31-й месяц. Все значения — формулы от листа «Допущения».</t>
  </si>
  <si>
    <t xml:space="preserve">Пессимистичный</t>
  </si>
  <si>
    <t xml:space="preserve">Базовый</t>
  </si>
  <si>
    <t xml:space="preserve">Оптимистичный</t>
  </si>
  <si>
    <t xml:space="preserve">Показатель</t>
  </si>
  <si>
    <t xml:space="preserve">Год 1</t>
  </si>
  <si>
    <t xml:space="preserve">Год 2</t>
  </si>
  <si>
    <t xml:space="preserve">Год 3</t>
  </si>
  <si>
    <t xml:space="preserve">Активных организаторов МСБ на конец года</t>
  </si>
  <si>
    <t xml:space="preserve">Продано билетов</t>
  </si>
  <si>
    <t xml:space="preserve">Оборот билетов (GMV), ₸</t>
  </si>
  <si>
    <t xml:space="preserve">Выручка, ₸</t>
  </si>
  <si>
    <t xml:space="preserve">Маржинальная прибыль, ₸</t>
  </si>
  <si>
    <t xml:space="preserve">Постоянные расходы, маркетинг и продажа крупных событий, ₸</t>
  </si>
  <si>
    <t xml:space="preserve">Операционная прибыль, ₸</t>
  </si>
  <si>
    <t xml:space="preserve">Накопленный поток на конец года, ₸</t>
  </si>
  <si>
    <t xml:space="preserve">Ключевые выводы</t>
  </si>
  <si>
    <t xml:space="preserve">Первый месяц с операционной прибылью</t>
  </si>
  <si>
    <t xml:space="preserve">Месяц, с которого накопленный поток ≥ 0 (окупаемость)</t>
  </si>
  <si>
    <t xml:space="preserve">Нужно вложить до окупаемости (минимум накопленного потока), ₸</t>
  </si>
  <si>
    <t xml:space="preserve">Выручка за 3 года, ₸</t>
  </si>
  <si>
    <t xml:space="preserve">Операционная прибыль за 3 года, ₸</t>
  </si>
  <si>
    <t xml:space="preserve">LTV / CAC (организатор МСБ)</t>
  </si>
  <si>
    <t xml:space="preserve">В том числе крупный сегмент</t>
  </si>
  <si>
    <t xml:space="preserve">Крупных событий</t>
  </si>
  <si>
    <t xml:space="preserve">Продажа и сопровождение событий, ₸</t>
  </si>
  <si>
    <t xml:space="preserve">Вклад в операционную прибыль, ₸</t>
  </si>
  <si>
    <t xml:space="preserve">Операционная прибыль за 3 года без крупного сегмента, ₸</t>
  </si>
  <si>
    <t xml:space="preserve">Юнит-экономика: один билет, один организатор МСБ и одно крупное событие</t>
  </si>
  <si>
    <t xml:space="preserve">Цены и ставки — из листа «Допущения»; маржа на билет учитывает бесплатные билеты и возвраты.</t>
  </si>
  <si>
    <t xml:space="preserve">На один проданный билет (МСБ)</t>
  </si>
  <si>
    <t xml:space="preserve">Цена билета, ₸</t>
  </si>
  <si>
    <t xml:space="preserve">Сервисный сбор и комиссия с платного билета, ₸</t>
  </si>
  <si>
    <t xml:space="preserve">Средняя выручка на проданный билет, ₸</t>
  </si>
  <si>
    <t xml:space="preserve">с учётом бесплатных билетов и возвратов</t>
  </si>
  <si>
    <t xml:space="preserve">Эквайринг на проданный билет, ₸</t>
  </si>
  <si>
    <t xml:space="preserve">с суммы оплаты, включая сбор; при возврате не возвращается</t>
  </si>
  <si>
    <t xml:space="preserve">SMS и инфраструктура на билет, ₸</t>
  </si>
  <si>
    <t xml:space="preserve">Налог, ₸</t>
  </si>
  <si>
    <t xml:space="preserve">Маржа на проданный билет, ₸</t>
  </si>
  <si>
    <t xml:space="preserve">Маржа, % от цены билета</t>
  </si>
  <si>
    <t xml:space="preserve">в первой версии spec.md было ~2% при сборе 5% и эквайринге 2,5%</t>
  </si>
  <si>
    <t xml:space="preserve">На одного организатора МСБ</t>
  </si>
  <si>
    <t xml:space="preserve">Билетов в месяц (в среднем по году, с сезонностью)</t>
  </si>
  <si>
    <t xml:space="preserve">Маржа с организатора в месяц, ₸</t>
  </si>
  <si>
    <t xml:space="preserve">Отток в месяц</t>
  </si>
  <si>
    <t xml:space="preserve">Средний срок жизни организатора, мес</t>
  </si>
  <si>
    <t xml:space="preserve">1 / отток</t>
  </si>
  <si>
    <t xml:space="preserve">LTV (маржа за срок жизни), ₸</t>
  </si>
  <si>
    <t xml:space="preserve">CAC, ₸</t>
  </si>
  <si>
    <t xml:space="preserve">LTV / CAC</t>
  </si>
  <si>
    <t xml:space="preserve">больше 3x — привлечение окупается с запасом</t>
  </si>
  <si>
    <t xml:space="preserve">Окупаемость привлечения, мес</t>
  </si>
  <si>
    <t xml:space="preserve">CAC / маржа в месяц</t>
  </si>
  <si>
    <t xml:space="preserve">Организаторов для безубыточности во 2-м году</t>
  </si>
  <si>
    <t xml:space="preserve">постоянные расходы 2-го года без маркетинга / маржа с организатора</t>
  </si>
  <si>
    <t xml:space="preserve">На одно крупное событие</t>
  </si>
  <si>
    <t xml:space="preserve">ставка эквайринга сценария, как у МСБ</t>
  </si>
  <si>
    <t xml:space="preserve">Продано билетов на событие</t>
  </si>
  <si>
    <t xml:space="preserve">Маржа с события, ₸</t>
  </si>
  <si>
    <t xml:space="preserve">Продажа и сопровождение события, ₸</t>
  </si>
  <si>
    <t xml:space="preserve">переговоры, юрист, запас облака, дежурство, поддержка, уступки промоутеру</t>
  </si>
  <si>
    <t xml:space="preserve">Вклад события в операционную прибыль, ₸</t>
  </si>
  <si>
    <t xml:space="preserve">Точка безубыточности, билетов на событие</t>
  </si>
  <si>
    <t xml:space="preserve">затраты на событие / маржа на билет</t>
  </si>
  <si>
    <t xml:space="preserve">Финансовая модель «Партер» — допущения</t>
  </si>
  <si>
    <t xml:space="preserve">Синие числа — вводимые значения, их можно менять; жёлтым выделены ключевые бизнес-параметры. Все остальные листы считаются формулами от этого листа. Суммы — в тенге, проценты — доли.</t>
  </si>
  <si>
    <t xml:space="preserve">Общие параметры</t>
  </si>
  <si>
    <t xml:space="preserve">Значение</t>
  </si>
  <si>
    <t xml:space="preserve">Источник / обоснование</t>
  </si>
  <si>
    <t xml:space="preserve">Первый месяц модели</t>
  </si>
  <si>
    <t xml:space="preserve">Запуск после защиты диплома (май 2027). Допущение.</t>
  </si>
  <si>
    <t xml:space="preserve">Сервисный сбор с покупателя</t>
  </si>
  <si>
    <t xml:space="preserve">от цены</t>
  </si>
  <si>
    <t xml:space="preserve">Бизнес-решение 2026-10-02: 5% (сначала 7%, снижено владельцем продукта). Рынок ~10%. В продукте — SERVICE_FEE_BPS, ADR 019.</t>
  </si>
  <si>
    <t xml:space="preserve">Комиссия с организатора</t>
  </si>
  <si>
    <t xml:space="preserve">Бизнес-решение 2026-10-02: организатор не платит.</t>
  </si>
  <si>
    <t xml:space="preserve">Налог (упрощённый режим, ИП)</t>
  </si>
  <si>
    <t xml:space="preserve">от дохода</t>
  </si>
  <si>
    <t xml:space="preserve">Базовая ставка 4% по Налоговому кодексу РК с 2026; акимат может снизить до 2%. Доход — только сбор: нужна агентская схема (лист «Риски»).</t>
  </si>
  <si>
    <t xml:space="preserve">Билетов в одном заказе</t>
  </si>
  <si>
    <t xml:space="preserve">шт.</t>
  </si>
  <si>
    <t xml:space="preserve">Допущение: пара — типичный заказ на концерт/стендап.</t>
  </si>
  <si>
    <t xml:space="preserve">SMS с кодом входа на заказ</t>
  </si>
  <si>
    <t xml:space="preserve">₸</t>
  </si>
  <si>
    <t xml:space="preserve">Допущение по местным SMS-агрегаторам; международные шлюзы дороже (~€0,14). Код нужен при входе, не на каждый заказ — консервативно.</t>
  </si>
  <si>
    <t xml:space="preserve">Инфраструктура и письма на билет</t>
  </si>
  <si>
    <t xml:space="preserve">Допущение: почта, хранилище, вычисления сверх фиксированного хостинга.</t>
  </si>
  <si>
    <t xml:space="preserve">Доля бесплатных билетов</t>
  </si>
  <si>
    <t xml:space="preserve">от проданных</t>
  </si>
  <si>
    <t xml:space="preserve">Бесплатные билеты есть в продукте; сбор с них не берётся. Допущение.</t>
  </si>
  <si>
    <t xml:space="preserve">Доля возвращённых билетов</t>
  </si>
  <si>
    <t xml:space="preserve">от платных</t>
  </si>
  <si>
    <t xml:space="preserve">Допущение. С запасом: в продукте сбор возвращается только при отмене события, при возврате по желанию покупателя он остаётся (ADR 019); эквайринг не возвращается.</t>
  </si>
  <si>
    <t xml:space="preserve">Юр. сопровождение запуска (разово, 1-й месяц)</t>
  </si>
  <si>
    <t xml:space="preserve">Агентский договор, оферта, проверка требований к платёжной деятельности. Допущение.</t>
  </si>
  <si>
    <t xml:space="preserve">Бухгалтерия и юрист, в месяц</t>
  </si>
  <si>
    <t xml:space="preserve">₸/мес</t>
  </si>
  <si>
    <t xml:space="preserve">Допущение: аутсорс для ИП.</t>
  </si>
  <si>
    <t xml:space="preserve">По годам</t>
  </si>
  <si>
    <t xml:space="preserve">Хостинг и сервисы, в месяц</t>
  </si>
  <si>
    <t xml:space="preserve">Допущение: VPS + управляемые PostgreSQL/Redis, рост с нагрузкой.</t>
  </si>
  <si>
    <t xml:space="preserve">Выплата основателю, в месяц</t>
  </si>
  <si>
    <t xml:space="preserve">Бизнес-решение: команда — только основатель. Суммы выплат — допущение, уточнить.</t>
  </si>
  <si>
    <t xml:space="preserve">Сценарии</t>
  </si>
  <si>
    <t xml:space="preserve">Средняя цена билета</t>
  </si>
  <si>
    <t xml:space="preserve">МСБ-сегмент дешевле крупных концертов. Ориентир: средний чек Ticketon 2021 — $11,9 ≈ 5 700 ₸ (spec.md).</t>
  </si>
  <si>
    <t xml:space="preserve">Эквайринг (от суммы оплаты)</t>
  </si>
  <si>
    <t xml:space="preserve">от оплаты</t>
  </si>
  <si>
    <t xml:space="preserve">Kaspi Pay ~1–1,5%, Halyk ePay 2,5–3% для карт других банков (finkaz.kz, halykbank.kz, 2026).</t>
  </si>
  <si>
    <t xml:space="preserve">Новых организаторов в месяц, год 1</t>
  </si>
  <si>
    <t xml:space="preserve">шт./мес</t>
  </si>
  <si>
    <t xml:space="preserve">Прямые продажи основателя + бесплатное первое событие (spec.md: первые 20–50 организаторов).</t>
  </si>
  <si>
    <t xml:space="preserve">Новых организаторов в месяц, год 2</t>
  </si>
  <si>
    <t xml:space="preserve">Рекомендации, второй город. Допущение.</t>
  </si>
  <si>
    <t xml:space="preserve">Новых организаторов в месяц, год 3</t>
  </si>
  <si>
    <t xml:space="preserve">Другие города Казахстана. Допущение.</t>
  </si>
  <si>
    <t xml:space="preserve">Отток организаторов в месяц</t>
  </si>
  <si>
    <t xml:space="preserve">от активных</t>
  </si>
  <si>
    <t xml:space="preserve">Допущение: для SaaS МСБ обычно 3–7% в месяц.</t>
  </si>
  <si>
    <t xml:space="preserve">Событий на организатора в месяц</t>
  </si>
  <si>
    <t xml:space="preserve">Стендап-клуб — еженедельно, конференция — раз в квартал; среднее. Допущение.</t>
  </si>
  <si>
    <t xml:space="preserve">Малые и средние залы. Допущение.</t>
  </si>
  <si>
    <t xml:space="preserve">Стоимость привлечения организатора (CAC)</t>
  </si>
  <si>
    <t xml:space="preserve">Реклама, встречи, время на продажу, бесплатное первое событие. Допущение: для B2B-продаж МСБ дороже, чем кажется.</t>
  </si>
  <si>
    <t xml:space="preserve">Сезонность (1,0 — обычный месяц)</t>
  </si>
  <si>
    <t xml:space="preserve">янв</t>
  </si>
  <si>
    <t xml:space="preserve">фев</t>
  </si>
  <si>
    <t xml:space="preserve">мар</t>
  </si>
  <si>
    <t xml:space="preserve">апр</t>
  </si>
  <si>
    <t xml:space="preserve">май</t>
  </si>
  <si>
    <t xml:space="preserve">июн</t>
  </si>
  <si>
    <t xml:space="preserve">июл</t>
  </si>
  <si>
    <t xml:space="preserve">авг</t>
  </si>
  <si>
    <t xml:space="preserve">сен</t>
  </si>
  <si>
    <t xml:space="preserve">окт</t>
  </si>
  <si>
    <t xml:space="preserve">ноя</t>
  </si>
  <si>
    <t xml:space="preserve">дек</t>
  </si>
  <si>
    <t xml:space="preserve">Коэффициент</t>
  </si>
  <si>
    <t xml:space="preserve">Летом залы пустеют, к Новому году — пик. Допущение.</t>
  </si>
  <si>
    <t xml:space="preserve">Крупный сегмент: концерты и шоу от 2 000 мест</t>
  </si>
  <si>
    <t xml:space="preserve">Бизнес-решение владельца 2026-10-09: оба сегмента в финмодели. Все числа ниже — допущения без интервью: по решению владельца 2026-10-09 интервью до защиты не проводятся. Источники — лист «Риски и источники».</t>
  </si>
  <si>
    <t xml:space="preserve">Крупных событий в год, год 1</t>
  </si>
  <si>
    <t xml:space="preserve">шт./год</t>
  </si>
  <si>
    <t xml:space="preserve">Допущение. Запуск в июне 2027, первые контакты с промоутерами — после запуска. Промоутеры связаны с банковскими площадками (Ticketon у Freedom, kino.kz у Halyk) и эксклюзивами. Оптимистичный — один пилот.</t>
  </si>
  <si>
    <t xml:space="preserve">Крупных событий в год, год 2</t>
  </si>
  <si>
    <t xml:space="preserve">Допущение. Реалистично — пилот с местным артистом или квота мест на арене, а не тур мировой звезды.</t>
  </si>
  <si>
    <t xml:space="preserve">Крупных событий в год, год 3</t>
  </si>
  <si>
    <t xml:space="preserve">Допущение. Событий арен и стадионов около 60 в год (лист «Рынок»): база 2 ≈ 3%, оптимистичный 4 ≈ 7%. Для одного основателя это потолок.</t>
  </si>
  <si>
    <t xml:space="preserve">Продано билетов на крупное событие</t>
  </si>
  <si>
    <t xml:space="preserve">Допущение. Almaty Arena: 12 концертов и 78 950 зрителей за I полугодие 2024 (акимат Алматы) ≈ 6 600 на концерт; Би-2 — около 8 000 (Informburo, 2022). Пессимистичный — малая арена или квота мест, оптимистичный — полная арена. Целый стадион не закладываем.</t>
  </si>
  <si>
    <t xml:space="preserve">Средняя цена билета на крупном событии</t>
  </si>
  <si>
    <t xml:space="preserve">Допущение. Средний чек на концерты за январь–июль 2024 — 28 232 ₸ (Ticketon по данным bes.media); из источника неясно, на заказ это или на билет. Если на заказ из 2 билетов — около 14 000 ₸ за билет; если на билет — базовые 15 000 ₸ консервативны. Макс Корж на стадионе — от 23 000 ₸ (концерт 2025 отменён площадкой), Skillet — 20 000–50 000 ₸. Цены мировых звёзд (40 000–350 000 ₸) не закладываем.</t>
  </si>
  <si>
    <t xml:space="preserve">Продажа и сопровождение одного крупного события</t>
  </si>
  <si>
    <t xml:space="preserve">Допущение. База: переговоры и юрист 200–300 тыс., нагрузочный прогон и запас облака на пик ~100 тыс., дежурство на старте продаж и в день события 150–250 тыс., поддержка покупателей, уступки промоутеру 300–400 тыс. ₸. Пессимистичный — первое событие: дольше переговоры, больше уступки и запас облака; оптимистичный — повторный промоутер, отлаженный процесс. На билет — 500 / 143 / 50 ₸.</t>
  </si>
  <si>
    <t xml:space="preserve">Сбор, комиссия, налог, билетов в заказе, SMS, инфраструктура, доли бесплатных и возвратов — общие с МСБ; эквайринг — по сценарию. События распределены по году равномерно, без сезонности: доля события попадает в каждый месяц. Поэтому месяцы первой прибыли и окупаемости на листе «Итоги» в базовом и оптимистичном сценариях раньше реальных: пилот 1-го года даёт вклад с 1-го месяца, хотя пройдёт через несколько месяцев после запуска. Суммы за год и за 3 года верны.</t>
  </si>
  <si>
    <t xml:space="preserve">План на 36 месяцев по трём сценариям</t>
  </si>
  <si>
    <t xml:space="preserve">Все ячейки — формулы от листа «Допущения». Суммы в тенге. В каждом сценарии сначала МСБ, затем крупный сегмент; операционная прибыль — оба сегмента.</t>
  </si>
  <si>
    <t xml:space="preserve">Месяц</t>
  </si>
  <si>
    <t xml:space="preserve">Дата</t>
  </si>
  <si>
    <t xml:space="preserve">Год модели</t>
  </si>
  <si>
    <t xml:space="preserve">Сезонность</t>
  </si>
  <si>
    <t xml:space="preserve">Сценарий: Пессимистичный</t>
  </si>
  <si>
    <t xml:space="preserve">Новые организаторы МСБ</t>
  </si>
  <si>
    <t xml:space="preserve">Ушедшие организаторы МСБ</t>
  </si>
  <si>
    <t xml:space="preserve">Активные организаторы МСБ на конец месяца</t>
  </si>
  <si>
    <t xml:space="preserve">Событий с продажей билетов (МСБ)</t>
  </si>
  <si>
    <t xml:space="preserve">Продано билетов (МСБ)</t>
  </si>
  <si>
    <t xml:space="preserve">Платных билетов (МСБ)</t>
  </si>
  <si>
    <t xml:space="preserve">Оборот билетов организаторов (GMV, МСБ)</t>
  </si>
  <si>
    <t xml:space="preserve">Выручка: сервисный сбор и комиссия (МСБ)</t>
  </si>
  <si>
    <t xml:space="preserve">Эквайринг (МСБ)</t>
  </si>
  <si>
    <t xml:space="preserve">SMS и инфраструктура на билеты (МСБ)</t>
  </si>
  <si>
    <t xml:space="preserve">Налог с выручки (МСБ)</t>
  </si>
  <si>
    <t xml:space="preserve">Маржинальная прибыль (МСБ)</t>
  </si>
  <si>
    <t xml:space="preserve">Крупный сегмент: событий</t>
  </si>
  <si>
    <t xml:space="preserve">Крупный сегмент: продано билетов</t>
  </si>
  <si>
    <t xml:space="preserve">Крупный сегмент: платных билетов</t>
  </si>
  <si>
    <t xml:space="preserve">Крупный сегмент: оборот билетов (GMV)</t>
  </si>
  <si>
    <t xml:space="preserve">Крупный сегмент: выручка, сбор и комиссия</t>
  </si>
  <si>
    <t xml:space="preserve">Крупный сегмент: эквайринг</t>
  </si>
  <si>
    <t xml:space="preserve">Крупный сегмент: SMS и инфраструктура</t>
  </si>
  <si>
    <t xml:space="preserve">Крупный сегмент: налог с выручки</t>
  </si>
  <si>
    <t xml:space="preserve">Крупный сегмент: маржинальная прибыль</t>
  </si>
  <si>
    <t xml:space="preserve">Крупный сегмент: продажа и сопровождение событий</t>
  </si>
  <si>
    <t xml:space="preserve">Привлечение организаторов МСБ (CAC × новые)</t>
  </si>
  <si>
    <t xml:space="preserve">Хостинг и сервисы</t>
  </si>
  <si>
    <t xml:space="preserve">Бухгалтерия, юрист, запуск</t>
  </si>
  <si>
    <t xml:space="preserve">Выплата основателю</t>
  </si>
  <si>
    <t xml:space="preserve">Постоянные расходы и маркетинг</t>
  </si>
  <si>
    <t xml:space="preserve">Операционная прибыль</t>
  </si>
  <si>
    <t xml:space="preserve">Накопленный денежный поток</t>
  </si>
  <si>
    <t xml:space="preserve">служебная: месяц с прибылью</t>
  </si>
  <si>
    <t xml:space="preserve">служебная: месяц с накопленным потоком ≥ 0</t>
  </si>
  <si>
    <t xml:space="preserve">Сценарий: Базовый</t>
  </si>
  <si>
    <t xml:space="preserve">Сценарий: Оптимистичный</t>
  </si>
  <si>
    <t xml:space="preserve">Почему процент с билета, а не подписка</t>
  </si>
  <si>
    <t xml:space="preserve">Только организаторы МСБ: объёмы МСБ базового сценария 3-го года из листа «План»; меняется только способ брать деньги. Подписку и гибрид предлагала исходная spec.md; выбран сервисный сбор (бизнес-решение 2026-10-02).</t>
  </si>
  <si>
    <t xml:space="preserve">Вводные для сравнения</t>
  </si>
  <si>
    <t xml:space="preserve">Подписка организатора, ₸ в месяц</t>
  </si>
  <si>
    <t xml:space="preserve">Альтернатива из spec.md; цена — допущение</t>
  </si>
  <si>
    <t xml:space="preserve">Гибрид: подписка, ₸ в месяц</t>
  </si>
  <si>
    <t xml:space="preserve">Гибрид: комиссия с билета</t>
  </si>
  <si>
    <t xml:space="preserve">spec.md: подписка + 1% с билета</t>
  </si>
  <si>
    <t xml:space="preserve">Доля организаторов, готовых платить подписку</t>
  </si>
  <si>
    <t xml:space="preserve">Допущение: МСБ с редкими событиями не платит каждый месяц; процент без абонплаты берут все</t>
  </si>
  <si>
    <t xml:space="preserve">Объёмы организаторов МСБ, базовый сценарий, 3-й год</t>
  </si>
  <si>
    <t xml:space="preserve">Организаторо-месяцев</t>
  </si>
  <si>
    <t xml:space="preserve">Платных билетов</t>
  </si>
  <si>
    <t xml:space="preserve">Модель</t>
  </si>
  <si>
    <t xml:space="preserve">Выручка на организатора в месяц, ₸</t>
  </si>
  <si>
    <t xml:space="preserve">Кто платит</t>
  </si>
  <si>
    <t xml:space="preserve">Сервисный сбор 5% (выбрано)</t>
  </si>
  <si>
    <t xml:space="preserve">покупатель</t>
  </si>
  <si>
    <t xml:space="preserve">Подписка</t>
  </si>
  <si>
    <t xml:space="preserve">организатор</t>
  </si>
  <si>
    <t xml:space="preserve">Гибрид: подписка + 1%</t>
  </si>
  <si>
    <t xml:space="preserve">Точка равенства</t>
  </si>
  <si>
    <t xml:space="preserve">Платных билетов в месяц у организатора, при которых сбор = подписке</t>
  </si>
  <si>
    <t xml:space="preserve">меньше — организатору выгоднее процент, больше — подписка; средний организатор базового сценария (строка 22) выше точки равенства</t>
  </si>
  <si>
    <t xml:space="preserve">Платных билетов в месяц у организатора в базовом сценарии</t>
  </si>
  <si>
    <t xml:space="preserve">Вывод</t>
  </si>
  <si>
    <t xml:space="preserve">Сервисный сбор платит покупатель, поэтому организатору вход бесплатный — это главный аргумент для МСБ против крупных площадок, где обычно платят обе стороны (схема «10/10» у Ticketscloud: сбор с покупателя и комиссия с организатора). Подписка выгоднее организаторам с объёмом выше точки равенства, а средний организатор базового сценария — около 112 платных билетов в месяц — как раз выше неё. Поэтому сбор приносит больше подписки даже с каждого платящего организатора (примерно в 1,3 раза), а то, что подписку платит только половина организаторов, удваивает разрыв.</t>
  </si>
  <si>
    <t xml:space="preserve">Рынок снизу вверх: МСБ-организаторы и крупный сегмент</t>
  </si>
  <si>
    <t xml:space="preserve">Все численности — допущения для проверки порядка величин. Интервью до защиты не проводятся (решение владельца 2026-10-09); численности проверяются открытыми данными и данными первых месяцев после запуска.</t>
  </si>
  <si>
    <t xml:space="preserve">Сегмент</t>
  </si>
  <si>
    <t xml:space="preserve">Организаторов</t>
  </si>
  <si>
    <t xml:space="preserve">Событий в год на одного</t>
  </si>
  <si>
    <t xml:space="preserve">Билетов на событие</t>
  </si>
  <si>
    <t xml:space="preserve">Средняя цена, ₸</t>
  </si>
  <si>
    <t xml:space="preserve">Оборот в год, ₸</t>
  </si>
  <si>
    <t xml:space="preserve">Наш сбор, ₸</t>
  </si>
  <si>
    <t xml:space="preserve">Стендап и камеди-клубы</t>
  </si>
  <si>
    <t xml:space="preserve">Небольшие концерты и клубные вечера</t>
  </si>
  <si>
    <t xml:space="preserve">Независимые театры и труппы</t>
  </si>
  <si>
    <t xml:space="preserve">Платные конференции и митапы</t>
  </si>
  <si>
    <t xml:space="preserve">Локальные фестивали</t>
  </si>
  <si>
    <t xml:space="preserve">Мастер-классы, лекции, экскурсии</t>
  </si>
  <si>
    <t xml:space="preserve">Итого (доступный рынок)</t>
  </si>
  <si>
    <t xml:space="preserve">Доля рынка МСБ в 3-й год, базовый сценарий</t>
  </si>
  <si>
    <t xml:space="preserve">Активных организаторов в конце 3-го года / всего в сегменте</t>
  </si>
  <si>
    <t xml:space="preserve">Проверка порядка величин: Ticketon</t>
  </si>
  <si>
    <t xml:space="preserve">Онлайн-заказов в месяц (2021)</t>
  </si>
  <si>
    <t xml:space="preserve">spec.md: оценка 2021 — выручка $6,1 млн, 42 810 онлайн-заказов в месяц, средний чек $11,9. Курс — допущение.</t>
  </si>
  <si>
    <t xml:space="preserve">Средний чек, $</t>
  </si>
  <si>
    <t xml:space="preserve">Курс, ₸ за $</t>
  </si>
  <si>
    <t xml:space="preserve">Оборот онлайн-заказов в год, ₸</t>
  </si>
  <si>
    <t xml:space="preserve">Доступный рынок МСБ к онлайн-обороту Ticketon, раз</t>
  </si>
  <si>
    <t xml:space="preserve">Больше 1: доступный рынок — все продажи сегмента, включая кассу, Instagram и Kaspi-переводы, а не только онлайн-билеты.</t>
  </si>
  <si>
    <t xml:space="preserve">Наш оборот МСБ 3-го года (база), % от онлайн-оборота Ticketon 2021</t>
  </si>
  <si>
    <t xml:space="preserve">Крупный сегмент: проверка порядка величин</t>
  </si>
  <si>
    <t xml:space="preserve">Крупных концертов и шоу от 2 000 мест в год по Казахстану</t>
  </si>
  <si>
    <t xml:space="preserve">Допущение: 400–500 в год. Ориентиры: Алматы — 334 концерта всех размеров в 2023 (zakon.kz), плюс Дворец Республики в Алматы, площадки Астаны, арены и стадионы. Большинство — залы с ~2 000 проданных билетов. Ошибка в 1,5 раза возможна.</t>
  </si>
  <si>
    <t xml:space="preserve">В том числе на аренах и стадионах, от 4 000 проданных билетов</t>
  </si>
  <si>
    <t xml:space="preserve">Допущение: Almaty Arena — около 24 в год (акимат Алматы, I полугодие 2024), Barys Arena — 10–15, стадионы — 8–10, остальные — несколько. Наши крупные события по допущениям — от 4 000 билетов, поэтому основной знаменатель — эта строка.</t>
  </si>
  <si>
    <t xml:space="preserve">Наших крупных событий в 3-й год (базовый)</t>
  </si>
  <si>
    <t xml:space="preserve">Доля от событий арен и стадионов</t>
  </si>
  <si>
    <t xml:space="preserve">Доля от всех событий от 2 000 мест</t>
  </si>
  <si>
    <t xml:space="preserve">Риски модели и источники</t>
  </si>
  <si>
    <t xml:space="preserve">Риск</t>
  </si>
  <si>
    <t xml:space="preserve">Описание и что делать</t>
  </si>
  <si>
    <t xml:space="preserve">Приём денег за организаторов</t>
  </si>
  <si>
    <t xml:space="preserve">Если оплата за билеты проходит через нас и потом выплачивается организатору, это может требовать регистрации платёжной организации в Нацбанке РК (Закон «О платежах и платёжных системах»). Альтернатива — сплит-платёж эквайера (деньги сразу делятся между организатором и нами); в MVP сплит-платежи исключены (CLAUDE.md). Проверить с юристом до запуска.</t>
  </si>
  <si>
    <t xml:space="preserve">Налоговая база</t>
  </si>
  <si>
    <t xml:space="preserve">Налог 4% считается только с нашего сбора при агентской схеме (договор с организатором, мы — агент). Без неё налоговой базой может считаться весь оборот билетов — модель тогда неверна.</t>
  </si>
  <si>
    <t xml:space="preserve">Ставка сбора</t>
  </si>
  <si>
    <t xml:space="preserve">При 5% базовый сценарий за три года не окупается: маржа с билета МСБ около 120 ₸, а эквайринг берётся со всей суммы оплаты и от ставки не зависит. Окупаемость за три года даёт ставка около 6% с крупным сегментом (33-й месяц) и около 6,5% без него (34-й месяц). Ставка — настройка продукта (SERVICE_FEE_BPS), её можно менять без кода; старые заказы сохраняют свой сбор.</t>
  </si>
  <si>
    <t xml:space="preserve">Численности рынка</t>
  </si>
  <si>
    <t xml:space="preserve">Число организаторов по сегментам и число крупных событий — допущения. Интервью до защиты не проводятся (решение владельца 2026-10-09); численности проверяются данными первых месяцев после запуска.</t>
  </si>
  <si>
    <t xml:space="preserve">Крупный сегмент</t>
  </si>
  <si>
    <t xml:space="preserve">Числа без интервью. Билетные операторы связаны эксклюзивами и предпродажей в банковских приложениях (Ticketon — Freedom SuperApp, kino.kz — Halyk); крупные промоутеры торгуются об условиях. 5% с покупателя и 0% с организатора — наша позиция, а не их согласие: если промоутер потребует половину сбора, маржа базового события падает примерно с 2,3 до 0,1 млн ₸, а после затрат на продажу и сопровождение событие уходит в минус около 0,9 млн ₸. Плановое расширение подов перед стартом продаж не реализовано (docs/adr/032-kubernetes.md, «Открыто»), реактивный HPA на короткий шторм опаздывает, поэтому мощность на первые крупные события поднимаем вручную заранее. Авансы промоутерам потребуют статуса платёжной организации или сплит-платежа эквайера (риск «Приём денег за организаторов»). Отмена события отдельно не учтена: сбор возвращается, затраты остаются.</t>
  </si>
  <si>
    <t xml:space="preserve">Конкуренты</t>
  </si>
  <si>
    <t xml:space="preserve">Ticketon и kino.kz могут снизить сбор для МСБ; наш ответ — бесплатный вход и своя схема зала.</t>
  </si>
  <si>
    <t xml:space="preserve">Источники</t>
  </si>
  <si>
    <t xml:space="preserve">Сервисный сбор ~10%, «10/10»</t>
  </si>
  <si>
    <t xml:space="preserve">https://support.ticketscloud.com/ (инструкция для организаторов, условия сделок)</t>
  </si>
  <si>
    <t xml:space="preserve">Эквайринг Kaspi Pay</t>
  </si>
  <si>
    <t xml:space="preserve">https://guide.kaspi.kz/partner/ru/account/opening/q258</t>
  </si>
  <si>
    <t xml:space="preserve">Эквайринг Halyk ePay</t>
  </si>
  <si>
    <t xml:space="preserve">https://halykbank.kz/en/business/payment/epay</t>
  </si>
  <si>
    <t xml:space="preserve">Сравнение эквайринга, 2026</t>
  </si>
  <si>
    <t xml:space="preserve">https://finkaz.kz/acquiring</t>
  </si>
  <si>
    <t xml:space="preserve">Упрощённый режим 4% с 2026</t>
  </si>
  <si>
    <t xml:space="preserve">https://digitalbusiness.kz/2025-08-07/uznali-kogda-objyavyat-stavki-po-novoy-uproshchenke-na-2026-god/</t>
  </si>
  <si>
    <t xml:space="preserve">Ticketon, ориентир 2021</t>
  </si>
  <si>
    <t xml:space="preserve">docs/spec.md, раздел «Бизнес-модель»</t>
  </si>
  <si>
    <t xml:space="preserve">Крупный сегмент (поиск 2026-10-09: числа сверены по выдаче поиска двумя независимыми проверками, сами страницы из среды разработки не открывались)</t>
  </si>
  <si>
    <t xml:space="preserve">Almaty Arena, вместимость</t>
  </si>
  <si>
    <t xml:space="preserve">https://en.wikipedia.org/wiki/Almaty_Arena</t>
  </si>
  <si>
    <t xml:space="preserve">Almaty Arena и Дворец Республики, I полугодие 2024</t>
  </si>
  <si>
    <t xml:space="preserve">https://www.gov.kz/memleket/entities/almaty/press/news/details/800411?lang=ru</t>
  </si>
  <si>
    <t xml:space="preserve">Алматы, 334 концерта в 2023</t>
  </si>
  <si>
    <t xml:space="preserve">https://www.zakon.kz/press-relizy/6420112-kulturnye-sobytiya-goda-v-almaty-334-kontserta-bolee-16-mln-posetiteley-i-zvezdy-mirovogo-urovnya.html</t>
  </si>
  <si>
    <t xml:space="preserve">Barys Arena, вместимость</t>
  </si>
  <si>
    <t xml:space="preserve">https://newtimes.kz/kultura-i-sport/18200-v-astane-sostoyalos-otkrytie-mnogofunktsionalnogo-ledovogo-dvortsa</t>
  </si>
  <si>
    <t xml:space="preserve">Astana Arena, вместимость</t>
  </si>
  <si>
    <t xml:space="preserve">https://en.wikipedia.org/wiki/Astana_Arena</t>
  </si>
  <si>
    <t xml:space="preserve">Центральный стадион Алматы, вместимость</t>
  </si>
  <si>
    <t xml:space="preserve">https://en.wikipedia.org/wiki/Almaty_Central_Stadium</t>
  </si>
  <si>
    <t xml:space="preserve">Би-2 в Almaty Arena, ~8 000 зрителей, 2022</t>
  </si>
  <si>
    <t xml:space="preserve">https://informburo.kz/novosti/kak-proshyol-koncert-bi-2-v-almaty</t>
  </si>
  <si>
    <t xml:space="preserve">Kazakh Tourism: 5 крупных концертов в 2026</t>
  </si>
  <si>
    <t xml:space="preserve">https://bizmedia.kz/2026-01-27-mirovye-zvyozdy-snova-priedut-v-kazahstan-timbaland-busta-rhymes-i-nikol-sherzinger/</t>
  </si>
  <si>
    <t xml:space="preserve">Средний чек Ticketon на концерты, январь–июль 2024</t>
  </si>
  <si>
    <t xml:space="preserve">https://bes.media/news/kontserti-futbolnie-matchi-ili-kino-kuda-bolshe-vsego-pokupayut-bileti-kazahstantsi/</t>
  </si>
  <si>
    <t xml:space="preserve">Ticketon, итоги 2024</t>
  </si>
  <si>
    <t xml:space="preserve">https://finratings.kz/news/1243-prodazhi-biletov-na-platforme-freedom-ticketon-udvoilis-v-2024-godu/</t>
  </si>
  <si>
    <t xml:space="preserve">Макс Корж, Центральный стадион, 2025</t>
  </si>
  <si>
    <t xml:space="preserve">https://digitalbusiness.kz/2025-03-20/prodali-polovinu-stadiona-za-paru-chasov-chto-izvestno-o-kontserte-maksa-korzha-v-almati/</t>
  </si>
  <si>
    <t xml:space="preserve">Skillet, Алматы, 2024</t>
  </si>
  <si>
    <t xml:space="preserve">https://freedom-travel.kz/media/news/skillet-astana-and-almaty/</t>
  </si>
  <si>
    <t xml:space="preserve">Backstreet Boys, цены 2025</t>
  </si>
  <si>
    <t xml:space="preserve">https://bes.media/news/kontserti-backstreet-boys-v-astane-i-almati-bileti-budut-stoit-ot-40-do-200-tisyach-tenge/</t>
  </si>
  <si>
    <t xml:space="preserve">kino.kz (Halyk) и Backstreet Boys</t>
  </si>
  <si>
    <t xml:space="preserve">https://bes.media/news/kinokz-ot-halyk-2-mln-prosmotrov-i-21-tis-biletov-na-backstreet-boys-za-sutki/</t>
  </si>
  <si>
    <t xml:space="preserve">Канье Уэст: цены и сбор 10%</t>
  </si>
  <si>
    <t xml:space="preserve">https://rus.azattyq-ruhy.kz/ar-trend/112114-stali-izvestny-tseny-na-bilety-na-pervyi-kontsert-kane-uesta-v-almaty</t>
  </si>
  <si>
    <t xml:space="preserve">Энрике Иглесиас, цены 2026</t>
  </si>
  <si>
    <t xml:space="preserve">https://forbes.kz/articles/enrike-iglesias-v-almaty-i-astane-skolko-stoyat-bilety-95372c</t>
  </si>
  <si>
    <t xml:space="preserve">Дженнифер Лопес: сбой Ticketon и фиксированная комиссия</t>
  </si>
  <si>
    <t xml:space="preserve">https://kapital.kz/business/136156/koncert-dzhennifer-lopes-timur-turlov-rasskazal-o-poteryah-freedom-ticketon-iz-za-sboya.html</t>
  </si>
  <si>
    <t xml:space="preserve">Сбой Ticketon на матче «Кайрат» — «Реал»</t>
  </si>
  <si>
    <t xml:space="preserve">https://finratings.kz/news/7344-freedom-ticketon-upal-pri-prodazhe-biletov-na-match-kairat-real/amp</t>
  </si>
  <si>
    <t xml:space="preserve">Ticketon: билеты на несуществующие места</t>
  </si>
  <si>
    <t xml:space="preserve">https://finratings.kz/news/2847-ticketon-prodal-bilety-na-nesushchestvuiushchie-mesta/</t>
  </si>
  <si>
    <t xml:space="preserve">Ticketon расторг партнёрство с Яндекс Афишей, 2024</t>
  </si>
  <si>
    <t xml:space="preserve">https://forbes.kz/articles/freedom-ticketon-rastorg-partnerstvo-syandeks-afisha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</si>
</sst>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#,##0;\(#,##0\);\-"/>
    <numFmt numFmtId="167" formatCode="0"/>
    <numFmt numFmtId="168" formatCode="0.0\x"/>
    <numFmt numFmtId="169" formatCode="#,##0"/>
    <numFmt numFmtId="170" formatCode="0.0%;\(0.0%\);\-"/>
    <numFmt numFmtId="171" formatCode="mmm\ yyyy"/>
    <numFmt numFmtId="172" formatCode="0.00"/>
    <numFmt numFmtId="173" formatCode="mmm\ yy"/>
    <numFmt numFmtId="174" formatCode="General"/>
    <numFmt numFmtId="175" formatCode="0.0"/>
    <numFmt numFmtId="176" formatCode="0.0\x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DEBE6"/>
        <bgColor rgb="FFD9D9D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B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E3494B"/>
      <rgbColor rgb="FF666666"/>
      <rgbColor rgb="FF999999"/>
      <rgbColor rgb="FF003366"/>
      <rgbColor rgb="FF1BAF7A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Накопленный денежный поток, ₸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"Пессимистичный"</c:f>
              <c:strCache>
                <c:ptCount val="1"/>
                <c:pt idx="0">
                  <c:v>Пессимистичный</c:v>
                </c:pt>
              </c:strCache>
            </c:strRef>
          </c:tx>
          <c:spPr>
            <a:solidFill>
              <a:srgbClr val="e3494b"/>
            </a:solidFill>
            <a:ln w="21960">
              <a:solidFill>
                <a:srgbClr val="e3494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План!$C$4:$AL$4</c:f>
              <c:multiLvlStrCache>
                <c:ptCount val="1"/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План!$C$38:$AL$38</c:f>
              <c:numCache>
                <c:formatCode>#,##0;\(#,##0\);\-</c:formatCode>
                <c:ptCount val="36"/>
                <c:pt idx="0">
                  <c:v>-1191749.34</c:v>
                </c:pt>
                <c:pt idx="1">
                  <c:v>-1579744.6297</c:v>
                </c:pt>
                <c:pt idx="2">
                  <c:v>-1962272.207018</c:v>
                </c:pt>
                <c:pt idx="3">
                  <c:v>-2324585.4198162</c:v>
                </c:pt>
                <c:pt idx="4">
                  <c:v>-2674272.62434954</c:v>
                </c:pt>
                <c:pt idx="5">
                  <c:v>-3010303.14954373</c:v>
                </c:pt>
                <c:pt idx="6">
                  <c:v>-3331753.57853314</c:v>
                </c:pt>
                <c:pt idx="7">
                  <c:v>-3678065.01284086</c:v>
                </c:pt>
                <c:pt idx="8">
                  <c:v>-4012007.36212128</c:v>
                </c:pt>
                <c:pt idx="9">
                  <c:v>-4332700.49081416</c:v>
                </c:pt>
                <c:pt idx="10">
                  <c:v>-4647838.70678547</c:v>
                </c:pt>
                <c:pt idx="11">
                  <c:v>-4957755.3047985</c:v>
                </c:pt>
                <c:pt idx="12">
                  <c:v>-5933511.26650429</c:v>
                </c:pt>
                <c:pt idx="13">
                  <c:v>-6921743.22950688</c:v>
                </c:pt>
                <c:pt idx="14">
                  <c:v>-7901905.28472931</c:v>
                </c:pt>
                <c:pt idx="15">
                  <c:v>-8816199.18791112</c:v>
                </c:pt>
                <c:pt idx="16">
                  <c:v>-9702849.76880112</c:v>
                </c:pt>
                <c:pt idx="17">
                  <c:v>-10560335.8390229</c:v>
                </c:pt>
                <c:pt idx="18">
                  <c:v>-11387294.5088653</c:v>
                </c:pt>
                <c:pt idx="19">
                  <c:v>-12295987.7424973</c:v>
                </c:pt>
                <c:pt idx="20">
                  <c:v>-13177416.8520631</c:v>
                </c:pt>
                <c:pt idx="21">
                  <c:v>-14030282.8276096</c:v>
                </c:pt>
                <c:pt idx="22">
                  <c:v>-14874950.1946233</c:v>
                </c:pt>
                <c:pt idx="23">
                  <c:v>-15711910.8696161</c:v>
                </c:pt>
                <c:pt idx="24">
                  <c:v>-17160734.2038774</c:v>
                </c:pt>
                <c:pt idx="25">
                  <c:v>-18649025.7811983</c:v>
                </c:pt>
                <c:pt idx="26">
                  <c:v>-20129831.58388</c:v>
                </c:pt>
                <c:pt idx="27">
                  <c:v>-21493746.4303034</c:v>
                </c:pt>
                <c:pt idx="28">
                  <c:v>-22818071.2388386</c:v>
                </c:pt>
                <c:pt idx="29">
                  <c:v>-24101394.930985</c:v>
                </c:pt>
                <c:pt idx="30">
                  <c:v>-25342453.2685985</c:v>
                </c:pt>
                <c:pt idx="31">
                  <c:v>-26729068.1510744</c:v>
                </c:pt>
                <c:pt idx="32">
                  <c:v>-28076444.7459594</c:v>
                </c:pt>
                <c:pt idx="33">
                  <c:v>-29383378.0709874</c:v>
                </c:pt>
                <c:pt idx="34">
                  <c:v>-30682706.2365137</c:v>
                </c:pt>
                <c:pt idx="35">
                  <c:v>-31974885.5521084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"Базовый"</c:f>
              <c:strCache>
                <c:ptCount val="1"/>
                <c:pt idx="0">
                  <c:v>Базовый</c:v>
                </c:pt>
              </c:strCache>
            </c:strRef>
          </c:tx>
          <c:spPr>
            <a:solidFill>
              <a:srgbClr val="2a78d6"/>
            </a:solidFill>
            <a:ln w="2196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План!$C$4:$AL$4</c:f>
              <c:multiLvlStrCache>
                <c:ptCount val="1"/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План!$C$72:$AL$72</c:f>
              <c:numCache>
                <c:formatCode>#,##0;\(#,##0\);\-</c:formatCode>
                <c:ptCount val="36"/>
                <c:pt idx="0">
                  <c:v>-1311025.9968</c:v>
                </c:pt>
                <c:pt idx="1">
                  <c:v>-1803880.364608</c:v>
                </c:pt>
                <c:pt idx="2">
                  <c:v>-2270075.78346464</c:v>
                </c:pt>
                <c:pt idx="3">
                  <c:v>-2637969.32114479</c:v>
                </c:pt>
                <c:pt idx="4">
                  <c:v>-2943077.22807779</c:v>
                </c:pt>
                <c:pt idx="5">
                  <c:v>-3179483.18813708</c:v>
                </c:pt>
                <c:pt idx="6">
                  <c:v>-3341711.26578175</c:v>
                </c:pt>
                <c:pt idx="7">
                  <c:v>-3624846.68667447</c:v>
                </c:pt>
                <c:pt idx="8">
                  <c:v>-3844288.30089608</c:v>
                </c:pt>
                <c:pt idx="9">
                  <c:v>-3994811.62087568</c:v>
                </c:pt>
                <c:pt idx="10">
                  <c:v>-4114593.88745619</c:v>
                </c:pt>
                <c:pt idx="11">
                  <c:v>-4205018.44804059</c:v>
                </c:pt>
                <c:pt idx="12">
                  <c:v>-4889744.4736604</c:v>
                </c:pt>
                <c:pt idx="13">
                  <c:v>-5643813.51259392</c:v>
                </c:pt>
                <c:pt idx="14">
                  <c:v>-6364767.86577543</c:v>
                </c:pt>
                <c:pt idx="15">
                  <c:v>-6779785.35736712</c:v>
                </c:pt>
                <c:pt idx="16">
                  <c:v>-7070855.49245085</c:v>
                </c:pt>
                <c:pt idx="17">
                  <c:v>-7230629.25851688</c:v>
                </c:pt>
                <c:pt idx="18">
                  <c:v>-7252304.66629824</c:v>
                </c:pt>
                <c:pt idx="19">
                  <c:v>-7653954.08523026</c:v>
                </c:pt>
                <c:pt idx="20">
                  <c:v>-7930528.04765368</c:v>
                </c:pt>
                <c:pt idx="21">
                  <c:v>-8075536.90296595</c:v>
                </c:pt>
                <c:pt idx="22">
                  <c:v>-8182360.44478916</c:v>
                </c:pt>
                <c:pt idx="23">
                  <c:v>-8252717.01223032</c:v>
                </c:pt>
                <c:pt idx="24">
                  <c:v>-8946116.82895537</c:v>
                </c:pt>
                <c:pt idx="25">
                  <c:v>-9820500.49625136</c:v>
                </c:pt>
                <c:pt idx="26">
                  <c:v>-10658054.242919</c:v>
                </c:pt>
                <c:pt idx="27">
                  <c:v>-10947625.0859206</c:v>
                </c:pt>
                <c:pt idx="28">
                  <c:v>-11047412.0312271</c:v>
                </c:pt>
                <c:pt idx="29">
                  <c:v>-10949241.558804</c:v>
                </c:pt>
                <c:pt idx="30">
                  <c:v>-10645548.5440207</c:v>
                </c:pt>
                <c:pt idx="31">
                  <c:v>-11024112.5494045</c:v>
                </c:pt>
                <c:pt idx="32">
                  <c:v>-11211637.9922053</c:v>
                </c:pt>
                <c:pt idx="33">
                  <c:v>-11200907.1286588</c:v>
                </c:pt>
                <c:pt idx="34">
                  <c:v>-11147706.8279719</c:v>
                </c:pt>
                <c:pt idx="35">
                  <c:v>-11053948.2148159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"Оптимистичный"</c:f>
              <c:strCache>
                <c:ptCount val="1"/>
                <c:pt idx="0">
                  <c:v>Оптимистичный</c:v>
                </c:pt>
              </c:strCache>
            </c:strRef>
          </c:tx>
          <c:spPr>
            <a:solidFill>
              <a:srgbClr val="1baf7a"/>
            </a:solidFill>
            <a:ln w="21960">
              <a:solidFill>
                <a:srgbClr val="1baf7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План!$C$4:$AL$4</c:f>
              <c:multiLvlStrCache>
                <c:ptCount val="1"/>
                <c:lvl>
                  <c:pt idx="0">
                    <c:v>36</c:v>
                  </c:pt>
                </c:lvl>
                <c:lvl>
                  <c:pt idx="0">
                    <c:v>35</c:v>
                  </c:pt>
                </c:lvl>
                <c:lvl>
                  <c:pt idx="0">
                    <c:v>34</c:v>
                  </c:pt>
                </c:lvl>
                <c:lvl>
                  <c:pt idx="0">
                    <c:v>33</c:v>
                  </c:pt>
                </c:lvl>
                <c:lvl>
                  <c:pt idx="0">
                    <c:v>32</c:v>
                  </c:pt>
                </c:lvl>
                <c:lvl>
                  <c:pt idx="0">
                    <c:v>31</c:v>
                  </c:pt>
                </c:lvl>
                <c:lvl>
                  <c:pt idx="0">
                    <c:v>30</c:v>
                  </c:pt>
                </c:lvl>
                <c:lvl>
                  <c:pt idx="0">
                    <c:v>29</c:v>
                  </c:pt>
                </c:lvl>
                <c:lvl>
                  <c:pt idx="0">
                    <c:v>28</c:v>
                  </c:pt>
                </c:lvl>
                <c:lvl>
                  <c:pt idx="0">
                    <c:v>27</c:v>
                  </c:pt>
                </c:lvl>
                <c:lvl>
                  <c:pt idx="0">
                    <c:v>26</c:v>
                  </c:pt>
                </c:lvl>
                <c:lvl>
                  <c:pt idx="0">
                    <c:v>25</c:v>
                  </c:pt>
                </c:lvl>
                <c:lvl>
                  <c:pt idx="0">
                    <c:v>24</c:v>
                  </c:pt>
                </c:lvl>
                <c:lvl>
                  <c:pt idx="0">
                    <c:v>23</c:v>
                  </c:pt>
                </c:lvl>
                <c:lvl>
                  <c:pt idx="0">
                    <c:v>22</c:v>
                  </c:pt>
                </c:lvl>
                <c:lvl>
                  <c:pt idx="0">
                    <c:v>21</c:v>
                  </c:pt>
                </c:lvl>
                <c:lvl>
                  <c:pt idx="0">
                    <c:v>20</c:v>
                  </c:pt>
                </c:lvl>
                <c:lvl>
                  <c:pt idx="0">
                    <c:v>19</c:v>
                  </c:pt>
                </c:lvl>
                <c:lvl>
                  <c:pt idx="0">
                    <c:v>18</c:v>
                  </c:pt>
                </c:lvl>
                <c:lvl>
                  <c:pt idx="0">
                    <c:v>17</c:v>
                  </c:pt>
                </c:lvl>
                <c:lvl>
                  <c:pt idx="0">
                    <c:v>16</c:v>
                  </c:pt>
                </c:lvl>
                <c:lvl>
                  <c:pt idx="0">
                    <c:v>15</c:v>
                  </c:pt>
                </c:lvl>
                <c:lvl>
                  <c:pt idx="0">
                    <c:v>14</c:v>
                  </c:pt>
                </c:lvl>
                <c:lvl>
                  <c:pt idx="0">
                    <c:v>13</c:v>
                  </c:pt>
                </c:lvl>
                <c:lvl>
                  <c:pt idx="0">
                    <c:v>12</c:v>
                  </c:pt>
                </c:lvl>
                <c:lvl>
                  <c:pt idx="0">
                    <c:v>11</c:v>
                  </c:pt>
                </c:lvl>
                <c:lvl>
                  <c:pt idx="0">
                    <c:v>10</c:v>
                  </c:pt>
                </c:lvl>
                <c:lvl>
                  <c:pt idx="0">
                    <c:v>9</c:v>
                  </c:pt>
                </c:lvl>
                <c:lvl>
                  <c:pt idx="0">
                    <c:v>8</c:v>
                  </c:pt>
                </c:lvl>
                <c:lvl>
                  <c:pt idx="0">
                    <c:v>7</c:v>
                  </c:pt>
                </c:lvl>
                <c:lvl>
                  <c:pt idx="0">
                    <c:v>6</c:v>
                  </c:pt>
                </c:lvl>
                <c:lvl>
                  <c:pt idx="0">
                    <c:v>5</c:v>
                  </c:pt>
                </c:lvl>
                <c:lvl>
                  <c:pt idx="0">
                    <c:v>4</c:v>
                  </c:pt>
                </c:lvl>
                <c:lvl>
                  <c:pt idx="0">
                    <c:v>3</c:v>
                  </c:pt>
                </c:lvl>
                <c:lvl>
                  <c:pt idx="0">
                    <c:v>2</c:v>
                  </c:pt>
                </c:lvl>
                <c:lvl>
                  <c:pt idx="0">
                    <c:v>1</c:v>
                  </c:pt>
                </c:lvl>
              </c:multiLvlStrCache>
            </c:multiLvlStrRef>
          </c:cat>
          <c:val>
            <c:numRef>
              <c:f>План!$C$106:$AL$106</c:f>
              <c:numCache>
                <c:formatCode>#,##0;\(#,##0\);\-</c:formatCode>
                <c:ptCount val="36"/>
                <c:pt idx="0">
                  <c:v>-749227.3</c:v>
                </c:pt>
                <c:pt idx="1">
                  <c:v>-622089.558375</c:v>
                </c:pt>
                <c:pt idx="2">
                  <c:v>-382371.812706875</c:v>
                </c:pt>
                <c:pt idx="3">
                  <c:v>271837.269909359</c:v>
                </c:pt>
                <c:pt idx="4">
                  <c:v>1194711.00360649</c:v>
                </c:pt>
                <c:pt idx="5">
                  <c:v>2413856.54780766</c:v>
                </c:pt>
                <c:pt idx="6">
                  <c:v>3955324.66464129</c:v>
                </c:pt>
                <c:pt idx="7">
                  <c:v>4987064.76940711</c:v>
                </c:pt>
                <c:pt idx="8">
                  <c:v>6297944.1206435</c:v>
                </c:pt>
                <c:pt idx="9">
                  <c:v>7912963.74446919</c:v>
                </c:pt>
                <c:pt idx="10">
                  <c:v>9669083.85646098</c:v>
                </c:pt>
                <c:pt idx="11">
                  <c:v>11561365.9395331</c:v>
                </c:pt>
                <c:pt idx="12">
                  <c:v>13084520.2676647</c:v>
                </c:pt>
                <c:pt idx="13">
                  <c:v>14302752.40265</c:v>
                </c:pt>
                <c:pt idx="14">
                  <c:v>15661948.2529108</c:v>
                </c:pt>
                <c:pt idx="15">
                  <c:v>18341217.9787469</c:v>
                </c:pt>
                <c:pt idx="16">
                  <c:v>21557158.3927219</c:v>
                </c:pt>
                <c:pt idx="17">
                  <c:v>25344336.981252</c:v>
                </c:pt>
                <c:pt idx="18">
                  <c:v>29735372.4340111</c:v>
                </c:pt>
                <c:pt idx="19">
                  <c:v>32486816.0228804</c:v>
                </c:pt>
                <c:pt idx="20">
                  <c:v>35788045.7540466</c:v>
                </c:pt>
                <c:pt idx="21">
                  <c:v>39670365.9213526</c:v>
                </c:pt>
                <c:pt idx="22">
                  <c:v>43729360.8828029</c:v>
                </c:pt>
                <c:pt idx="23">
                  <c:v>47958847.0206024</c:v>
                </c:pt>
                <c:pt idx="24">
                  <c:v>51913762.7389836</c:v>
                </c:pt>
                <c:pt idx="25">
                  <c:v>55074786.8451621</c:v>
                </c:pt>
                <c:pt idx="26">
                  <c:v>58395284.2626242</c:v>
                </c:pt>
                <c:pt idx="27">
                  <c:v>64107052.8673759</c:v>
                </c:pt>
                <c:pt idx="28">
                  <c:v>70650426.4788198</c:v>
                </c:pt>
                <c:pt idx="29">
                  <c:v>78064511.5543216</c:v>
                </c:pt>
                <c:pt idx="30">
                  <c:v>86386209.8628358</c:v>
                </c:pt>
                <c:pt idx="31">
                  <c:v>91730698.459892</c:v>
                </c:pt>
                <c:pt idx="32">
                  <c:v>97921629.675571</c:v>
                </c:pt>
                <c:pt idx="33">
                  <c:v>104994418.292938</c:v>
                </c:pt>
                <c:pt idx="34">
                  <c:v>112267080.433697</c:v>
                </c:pt>
                <c:pt idx="35">
                  <c:v>119732620.52453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9281339"/>
        <c:axId val="58752317"/>
      </c:lineChart>
      <c:catAx>
        <c:axId val="7928133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Месяц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752317"/>
        <c:crosses val="autoZero"/>
        <c:auto val="1"/>
        <c:lblAlgn val="ctr"/>
        <c:lblOffset val="100"/>
        <c:noMultiLvlLbl val="0"/>
      </c:catAx>
      <c:valAx>
        <c:axId val="587523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₸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28133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32</xdr:row>
      <xdr:rowOff>160920</xdr:rowOff>
    </xdr:from>
    <xdr:to>
      <xdr:col>3</xdr:col>
      <xdr:colOff>460800</xdr:colOff>
      <xdr:row>49</xdr:row>
      <xdr:rowOff>162000</xdr:rowOff>
    </xdr:to>
    <xdr:graphicFrame>
      <xdr:nvGraphicFramePr>
        <xdr:cNvPr id="0" name="Chart 1"/>
        <xdr:cNvGraphicFramePr/>
      </xdr:nvGraphicFramePr>
      <xdr:xfrm>
        <a:off x="0" y="628668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0" min="2" style="0" width="15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4" t="s">
        <v>2</v>
      </c>
      <c r="C3" s="2"/>
      <c r="D3" s="2"/>
      <c r="E3" s="4" t="s">
        <v>3</v>
      </c>
      <c r="F3" s="2"/>
      <c r="G3" s="2"/>
      <c r="H3" s="4" t="s">
        <v>4</v>
      </c>
      <c r="I3" s="2"/>
      <c r="J3" s="2"/>
    </row>
    <row r="4" customFormat="false" ht="15" hidden="false" customHeight="false" outlineLevel="0" collapsed="false">
      <c r="A4" s="5" t="s">
        <v>5</v>
      </c>
      <c r="B4" s="5" t="s">
        <v>6</v>
      </c>
      <c r="C4" s="5" t="s">
        <v>7</v>
      </c>
      <c r="D4" s="5" t="s">
        <v>8</v>
      </c>
      <c r="E4" s="5" t="s">
        <v>6</v>
      </c>
      <c r="F4" s="5" t="s">
        <v>7</v>
      </c>
      <c r="G4" s="5" t="s">
        <v>8</v>
      </c>
      <c r="H4" s="5" t="s">
        <v>6</v>
      </c>
      <c r="I4" s="5" t="s">
        <v>7</v>
      </c>
      <c r="J4" s="5" t="s">
        <v>8</v>
      </c>
    </row>
    <row r="5" customFormat="false" ht="15" hidden="false" customHeight="false" outlineLevel="0" collapsed="false">
      <c r="A5" s="6" t="s">
        <v>9</v>
      </c>
      <c r="B5" s="7" t="n">
        <f aca="false">План!N12</f>
        <v>13.1019921296437</v>
      </c>
      <c r="C5" s="7" t="n">
        <f aca="false">План!Z12</f>
        <v>32.4394884783212</v>
      </c>
      <c r="D5" s="7" t="n">
        <f aca="false">План!AL12</f>
        <v>50.3772572480658</v>
      </c>
      <c r="E5" s="7" t="n">
        <f aca="false">План!N46</f>
        <v>28.3004301338349</v>
      </c>
      <c r="F5" s="7" t="n">
        <f aca="false">План!Z46</f>
        <v>63.4540985038253</v>
      </c>
      <c r="G5" s="7" t="n">
        <f aca="false">План!AL46</f>
        <v>102.551761261579</v>
      </c>
      <c r="H5" s="7" t="n">
        <f aca="false">План!N80</f>
        <v>49.6970913216808</v>
      </c>
      <c r="I5" s="7" t="n">
        <f aca="false">План!Z80</f>
        <v>111.923831235522</v>
      </c>
      <c r="J5" s="7" t="n">
        <f aca="false">План!AL80</f>
        <v>182.321410109331</v>
      </c>
    </row>
    <row r="6" customFormat="false" ht="15" hidden="false" customHeight="false" outlineLevel="0" collapsed="false">
      <c r="A6" s="6" t="s">
        <v>10</v>
      </c>
      <c r="B6" s="8" t="n">
        <f aca="false">SUM(План!$C$14:$N$14)+SUM(План!$C$23:$N$23)</f>
        <v>8406.89436745213</v>
      </c>
      <c r="C6" s="8" t="n">
        <f aca="false">SUM(План!$O$14:$Z$14)+SUM(План!$O$23:$Z$23)</f>
        <v>25732.6321772677</v>
      </c>
      <c r="D6" s="8" t="n">
        <f aca="false">SUM(План!$AA$14:$AL$14)+SUM(План!$AA$23:$AL$23)</f>
        <v>48500.7306434679</v>
      </c>
      <c r="E6" s="8" t="n">
        <f aca="false">SUM(План!$C$48:$N$48)+SUM(План!$C$57:$N$57)</f>
        <v>25970.3923783929</v>
      </c>
      <c r="F6" s="8" t="n">
        <f aca="false">SUM(План!$O$48:$Z$48)+SUM(План!$O$57:$Z$57)</f>
        <v>81472.3097591549</v>
      </c>
      <c r="G6" s="8" t="n">
        <f aca="false">SUM(План!$AA$48:$AL$48)+SUM(План!$AA$57:$AL$57)</f>
        <v>144526.798002133</v>
      </c>
      <c r="H6" s="8" t="n">
        <f aca="false">SUM(План!$C$82:$N$82)+SUM(План!$C$91:$N$91)</f>
        <v>88416.3969310009</v>
      </c>
      <c r="I6" s="8" t="n">
        <f aca="false">SUM(План!$O$82:$Z$82)+SUM(План!$O$91:$Z$91)</f>
        <v>246037.381177699</v>
      </c>
      <c r="J6" s="8" t="n">
        <f aca="false">SUM(План!$AA$82:$AL$82)+SUM(План!$AA$91:$AL$91)</f>
        <v>440812.702768392</v>
      </c>
    </row>
    <row r="7" customFormat="false" ht="15" hidden="false" customHeight="false" outlineLevel="0" collapsed="false">
      <c r="A7" s="6" t="s">
        <v>11</v>
      </c>
      <c r="B7" s="8" t="n">
        <f aca="false">SUM(План!$C$16:$N$16)+SUM(План!$C$25:$N$25)</f>
        <v>37831024.6535346</v>
      </c>
      <c r="C7" s="8" t="n">
        <f aca="false">SUM(План!$O$16:$Z$16)+SUM(План!$O$25:$Z$25)</f>
        <v>115796844.797705</v>
      </c>
      <c r="D7" s="8" t="n">
        <f aca="false">SUM(План!$AA$16:$AL$16)+SUM(План!$AA$25:$AL$25)</f>
        <v>243453287.895606</v>
      </c>
      <c r="E7" s="8" t="n">
        <f aca="false">SUM(План!$C$50:$N$50)+SUM(План!$C$59:$N$59)</f>
        <v>140240118.843322</v>
      </c>
      <c r="F7" s="8" t="n">
        <f aca="false">SUM(План!$O$50:$Z$50)+SUM(План!$O$59:$Z$59)</f>
        <v>496650472.699436</v>
      </c>
      <c r="G7" s="8" t="n">
        <f aca="false">SUM(План!$AA$50:$AL$50)+SUM(План!$AA$59:$AL$59)</f>
        <v>893844709.211518</v>
      </c>
      <c r="H7" s="8" t="n">
        <f aca="false">SUM(План!$C$84:$N$84)+SUM(План!$C$93:$N$93)</f>
        <v>697423300.665306</v>
      </c>
      <c r="I7" s="8" t="n">
        <f aca="false">SUM(План!$O$84:$Z$84)+SUM(План!$O$93:$Z$93)</f>
        <v>1830835501.4195</v>
      </c>
      <c r="J7" s="8" t="n">
        <f aca="false">SUM(План!$AA$84:$AL$84)+SUM(План!$AA$93:$AL$93)</f>
        <v>3338720027.44087</v>
      </c>
    </row>
    <row r="8" customFormat="false" ht="15" hidden="false" customHeight="false" outlineLevel="0" collapsed="false">
      <c r="A8" s="6" t="s">
        <v>12</v>
      </c>
      <c r="B8" s="8" t="n">
        <f aca="false">SUM(План!$C$17:$N$17)+SUM(План!$C$26:$N$26)</f>
        <v>1834804.69569643</v>
      </c>
      <c r="C8" s="8" t="n">
        <f aca="false">SUM(План!$O$17:$Z$17)+SUM(План!$O$26:$Z$26)</f>
        <v>5616146.97268868</v>
      </c>
      <c r="D8" s="8" t="n">
        <f aca="false">SUM(План!$AA$17:$AL$17)+SUM(План!$AA$26:$AL$26)</f>
        <v>11807484.4629369</v>
      </c>
      <c r="E8" s="8" t="n">
        <f aca="false">SUM(План!$C$51:$N$51)+SUM(План!$C$60:$N$60)</f>
        <v>6801645.76390111</v>
      </c>
      <c r="F8" s="8" t="n">
        <f aca="false">SUM(План!$O$51:$Z$51)+SUM(План!$O$60:$Z$60)</f>
        <v>24087547.9259227</v>
      </c>
      <c r="G8" s="8" t="n">
        <f aca="false">SUM(План!$AA$51:$AL$51)+SUM(План!$AA$60:$AL$60)</f>
        <v>43351468.3967586</v>
      </c>
      <c r="H8" s="8" t="n">
        <f aca="false">SUM(План!$C$85:$N$85)+SUM(План!$C$94:$N$94)</f>
        <v>33825030.0822673</v>
      </c>
      <c r="I8" s="8" t="n">
        <f aca="false">SUM(План!$O$85:$Z$85)+SUM(План!$O$94:$Z$94)</f>
        <v>88795521.8188458</v>
      </c>
      <c r="J8" s="8" t="n">
        <f aca="false">SUM(План!$AA$85:$AL$85)+SUM(План!$AA$94:$AL$94)</f>
        <v>161927921.330882</v>
      </c>
    </row>
    <row r="9" customFormat="false" ht="15" hidden="false" customHeight="false" outlineLevel="0" collapsed="false">
      <c r="A9" s="6" t="s">
        <v>13</v>
      </c>
      <c r="B9" s="8" t="n">
        <f aca="false">SUM(План!$C$21:$N$21)+SUM(План!$C$30:$N$30)</f>
        <v>642244.695201505</v>
      </c>
      <c r="C9" s="8" t="n">
        <f aca="false">SUM(План!$O$21:$Z$21)+SUM(План!$O$30:$Z$30)</f>
        <v>1965844.43518237</v>
      </c>
      <c r="D9" s="8" t="n">
        <f aca="false">SUM(План!$AA$21:$AL$21)+SUM(План!$AA$30:$AL$30)</f>
        <v>4217025.31750773</v>
      </c>
      <c r="E9" s="8" t="n">
        <f aca="false">SUM(План!$C$55:$N$55)+SUM(План!$C$64:$N$64)</f>
        <v>3194981.55195941</v>
      </c>
      <c r="F9" s="8" t="n">
        <f aca="false">SUM(План!$O$55:$Z$55)+SUM(План!$O$64:$Z$64)</f>
        <v>11472301.4358103</v>
      </c>
      <c r="G9" s="8" t="n">
        <f aca="false">SUM(План!$AA$55:$AL$55)+SUM(План!$AA$64:$AL$64)</f>
        <v>20678768.7974144</v>
      </c>
      <c r="H9" s="8" t="n">
        <f aca="false">SUM(План!$C$89:$N$89)+SUM(План!$C$98:$N$98)</f>
        <v>20161365.9395331</v>
      </c>
      <c r="I9" s="8" t="n">
        <f aca="false">SUM(План!$O$89:$Z$89)+SUM(План!$O$98:$Z$98)</f>
        <v>52717481.0810694</v>
      </c>
      <c r="J9" s="8" t="n">
        <f aca="false">SUM(План!$AA$89:$AL$89)+SUM(План!$AA$98:$AL$98)</f>
        <v>96253773.5039274</v>
      </c>
    </row>
    <row r="10" customFormat="false" ht="15" hidden="false" customHeight="false" outlineLevel="0" collapsed="false">
      <c r="A10" s="6" t="s">
        <v>14</v>
      </c>
      <c r="B10" s="8" t="n">
        <f aca="false">SUM(План!$C$36:$N$36)+SUM(План!$C$31:$N$31)</f>
        <v>5600000</v>
      </c>
      <c r="C10" s="8" t="n">
        <f aca="false">SUM(План!$O$36:$Z$36)+SUM(План!$O$31:$Z$31)</f>
        <v>12720000</v>
      </c>
      <c r="D10" s="8" t="n">
        <f aca="false">SUM(План!$AA$36:$AL$36)+SUM(План!$AA$31:$AL$31)</f>
        <v>20480000</v>
      </c>
      <c r="E10" s="8" t="n">
        <f aca="false">SUM(План!$C$70:$N$70)+SUM(План!$C$65:$N$65)</f>
        <v>7400000</v>
      </c>
      <c r="F10" s="8" t="n">
        <f aca="false">SUM(План!$O$70:$Z$70)+SUM(План!$O$65:$Z$65)</f>
        <v>15520000</v>
      </c>
      <c r="G10" s="8" t="n">
        <f aca="false">SUM(План!$AA$70:$AL$70)+SUM(План!$AA$65:$AL$65)</f>
        <v>23480000</v>
      </c>
      <c r="H10" s="8" t="n">
        <f aca="false">SUM(План!$C$104:$N$104)+SUM(План!$C$99:$N$99)</f>
        <v>8600000</v>
      </c>
      <c r="I10" s="8" t="n">
        <f aca="false">SUM(План!$O$104:$Z$104)+SUM(План!$O$99:$Z$99)</f>
        <v>16320000</v>
      </c>
      <c r="J10" s="8" t="n">
        <f aca="false">SUM(План!$AA$104:$AL$104)+SUM(План!$AA$99:$AL$99)</f>
        <v>24480000</v>
      </c>
    </row>
    <row r="11" customFormat="false" ht="15" hidden="false" customHeight="false" outlineLevel="0" collapsed="false">
      <c r="A11" s="4" t="s">
        <v>15</v>
      </c>
      <c r="B11" s="8" t="n">
        <f aca="false">SUM(План!$C$37:$N$37)</f>
        <v>-4957755.3047985</v>
      </c>
      <c r="C11" s="8" t="n">
        <f aca="false">SUM(План!$O$37:$Z$37)</f>
        <v>-10754155.5648176</v>
      </c>
      <c r="D11" s="8" t="n">
        <f aca="false">SUM(План!$AA$37:$AL$37)</f>
        <v>-16262974.6824923</v>
      </c>
      <c r="E11" s="8" t="n">
        <f aca="false">SUM(План!$C$71:$N$71)</f>
        <v>-4205018.44804059</v>
      </c>
      <c r="F11" s="8" t="n">
        <f aca="false">SUM(План!$O$71:$Z$71)</f>
        <v>-4047698.56418973</v>
      </c>
      <c r="G11" s="8" t="n">
        <f aca="false">SUM(План!$AA$71:$AL$71)</f>
        <v>-2801231.2025856</v>
      </c>
      <c r="H11" s="8" t="n">
        <f aca="false">SUM(План!$C$105:$N$105)</f>
        <v>11561365.9395331</v>
      </c>
      <c r="I11" s="8" t="n">
        <f aca="false">SUM(План!$O$105:$Z$105)</f>
        <v>36397481.0810694</v>
      </c>
      <c r="J11" s="8" t="n">
        <f aca="false">SUM(План!$AA$105:$AL$105)</f>
        <v>71773773.5039274</v>
      </c>
    </row>
    <row r="12" customFormat="false" ht="15" hidden="false" customHeight="false" outlineLevel="0" collapsed="false">
      <c r="A12" s="4" t="s">
        <v>16</v>
      </c>
      <c r="B12" s="8" t="n">
        <f aca="false">План!N38</f>
        <v>-4957755.3047985</v>
      </c>
      <c r="C12" s="8" t="n">
        <f aca="false">План!Z38</f>
        <v>-15711910.8696161</v>
      </c>
      <c r="D12" s="8" t="n">
        <f aca="false">План!AL38</f>
        <v>-31974885.5521084</v>
      </c>
      <c r="E12" s="8" t="n">
        <f aca="false">План!N72</f>
        <v>-4205018.44804059</v>
      </c>
      <c r="F12" s="8" t="n">
        <f aca="false">План!Z72</f>
        <v>-8252717.01223032</v>
      </c>
      <c r="G12" s="8" t="n">
        <f aca="false">План!AL72</f>
        <v>-11053948.2148159</v>
      </c>
      <c r="H12" s="8" t="n">
        <f aca="false">План!N106</f>
        <v>11561365.9395331</v>
      </c>
      <c r="I12" s="8" t="n">
        <f aca="false">План!Z106</f>
        <v>47958847.0206024</v>
      </c>
      <c r="J12" s="8" t="n">
        <f aca="false">План!AL106</f>
        <v>119732620.52453</v>
      </c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customFormat="false" ht="15" hidden="false" customHeight="false" outlineLevel="0" collapsed="false">
      <c r="A14" s="4" t="s">
        <v>17</v>
      </c>
      <c r="B14" s="4" t="s">
        <v>2</v>
      </c>
      <c r="C14" s="2"/>
      <c r="D14" s="2"/>
      <c r="E14" s="4" t="s">
        <v>3</v>
      </c>
      <c r="F14" s="2"/>
      <c r="G14" s="2"/>
      <c r="H14" s="4" t="s">
        <v>4</v>
      </c>
      <c r="I14" s="2"/>
      <c r="J14" s="2"/>
    </row>
    <row r="15" customFormat="false" ht="15" hidden="false" customHeight="false" outlineLevel="0" collapsed="false">
      <c r="A15" s="2" t="s">
        <v>18</v>
      </c>
      <c r="B15" s="9" t="str">
        <f aca="false">IF(COUNT(План!$C$39:$AL$39)=0,"не достигнут",MIN(План!$C$39:$AL$39))</f>
        <v>не достигнут</v>
      </c>
      <c r="C15" s="2"/>
      <c r="D15" s="2"/>
      <c r="E15" s="9" t="n">
        <f aca="false">IF(COUNT(План!$C$73:$AL$73)=0,"не достигнут",MIN(План!$C$73:$AL$73))</f>
        <v>30</v>
      </c>
      <c r="F15" s="2"/>
      <c r="G15" s="2"/>
      <c r="H15" s="9" t="n">
        <f aca="false">IF(COUNT(План!$C$107:$AL$107)=0,"не достигнут",MIN(План!$C$107:$AL$107))</f>
        <v>2</v>
      </c>
      <c r="I15" s="2"/>
      <c r="J15" s="2"/>
    </row>
    <row r="16" customFormat="false" ht="15" hidden="false" customHeight="false" outlineLevel="0" collapsed="false">
      <c r="A16" s="2" t="s">
        <v>19</v>
      </c>
      <c r="B16" s="9" t="str">
        <f aca="false">IF(COUNT(План!$C$40:$AL$40)=0,"за 3 года нет",MIN(План!$C$40:$AL$40))</f>
        <v>за 3 года нет</v>
      </c>
      <c r="C16" s="2"/>
      <c r="D16" s="2"/>
      <c r="E16" s="9" t="str">
        <f aca="false">IF(COUNT(План!$C$74:$AL$74)=0,"за 3 года нет",MIN(План!$C$74:$AL$74))</f>
        <v>за 3 года нет</v>
      </c>
      <c r="F16" s="2"/>
      <c r="G16" s="2"/>
      <c r="H16" s="9" t="n">
        <f aca="false">IF(COUNT(План!$C$108:$AL$108)=0,"за 3 года нет",MIN(План!$C$108:$AL$108))</f>
        <v>4</v>
      </c>
      <c r="I16" s="2"/>
      <c r="J16" s="2"/>
    </row>
    <row r="17" customFormat="false" ht="15" hidden="false" customHeight="false" outlineLevel="0" collapsed="false">
      <c r="A17" s="2" t="s">
        <v>20</v>
      </c>
      <c r="B17" s="10" t="n">
        <f aca="false">-MIN(0,MIN(План!$C$38:$AL$38))</f>
        <v>31974885.5521084</v>
      </c>
      <c r="C17" s="2"/>
      <c r="D17" s="2"/>
      <c r="E17" s="10" t="n">
        <f aca="false">-MIN(0,MIN(План!$C$72:$AL$72))</f>
        <v>11211637.9922053</v>
      </c>
      <c r="F17" s="2"/>
      <c r="G17" s="2"/>
      <c r="H17" s="10" t="n">
        <f aca="false">-MIN(0,MIN(План!$C$106:$AL$106))</f>
        <v>749227.3</v>
      </c>
      <c r="I17" s="2"/>
      <c r="J17" s="2"/>
    </row>
    <row r="18" customFormat="false" ht="15" hidden="false" customHeight="false" outlineLevel="0" collapsed="false">
      <c r="A18" s="2" t="s">
        <v>21</v>
      </c>
      <c r="B18" s="10" t="n">
        <f aca="false">SUM(План!$C$17:$AL$17)+SUM(План!$C$26:$AL$26)</f>
        <v>19258436.131322</v>
      </c>
      <c r="C18" s="2"/>
      <c r="D18" s="2"/>
      <c r="E18" s="10" t="n">
        <f aca="false">SUM(План!$C$51:$AL$51)+SUM(План!$C$60:$AL$60)</f>
        <v>74240662.0865824</v>
      </c>
      <c r="F18" s="2"/>
      <c r="G18" s="2"/>
      <c r="H18" s="10" t="n">
        <f aca="false">SUM(План!$C$85:$AL$85)+SUM(План!$C$94:$AL$94)</f>
        <v>284548473.231995</v>
      </c>
      <c r="I18" s="2"/>
      <c r="J18" s="2"/>
    </row>
    <row r="19" customFormat="false" ht="15" hidden="false" customHeight="false" outlineLevel="0" collapsed="false">
      <c r="A19" s="2" t="s">
        <v>22</v>
      </c>
      <c r="B19" s="10" t="n">
        <f aca="false">SUM(План!$C$37:$AL$37)</f>
        <v>-31974885.5521084</v>
      </c>
      <c r="C19" s="2"/>
      <c r="D19" s="2"/>
      <c r="E19" s="10" t="n">
        <f aca="false">SUM(План!$C$71:$AL$71)</f>
        <v>-11053948.2148159</v>
      </c>
      <c r="F19" s="2"/>
      <c r="G19" s="2"/>
      <c r="H19" s="10" t="n">
        <f aca="false">SUM(План!$C$105:$AL$105)</f>
        <v>119732620.52453</v>
      </c>
      <c r="I19" s="2"/>
      <c r="J19" s="2"/>
    </row>
    <row r="20" customFormat="false" ht="15" hidden="false" customHeight="false" outlineLevel="0" collapsed="false">
      <c r="A20" s="2" t="s">
        <v>23</v>
      </c>
      <c r="B20" s="11" t="n">
        <f aca="false">'Юнит-экономика'!C21</f>
        <v>0.5395396875</v>
      </c>
      <c r="C20" s="2"/>
      <c r="D20" s="2"/>
      <c r="E20" s="11" t="n">
        <f aca="false">'Юнит-экономика'!D21</f>
        <v>2.26546417777778</v>
      </c>
      <c r="F20" s="2"/>
      <c r="G20" s="2"/>
      <c r="H20" s="11" t="n">
        <f aca="false">'Юнит-экономика'!E21</f>
        <v>10.8421280357143</v>
      </c>
      <c r="I20" s="2"/>
      <c r="J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customFormat="false" ht="15" hidden="false" customHeight="false" outlineLevel="0" collapsed="false">
      <c r="A22" s="4" t="s">
        <v>24</v>
      </c>
      <c r="B22" s="4" t="s">
        <v>2</v>
      </c>
      <c r="C22" s="2"/>
      <c r="D22" s="2"/>
      <c r="E22" s="4" t="s">
        <v>3</v>
      </c>
      <c r="F22" s="2"/>
      <c r="G22" s="2"/>
      <c r="H22" s="4" t="s">
        <v>4</v>
      </c>
      <c r="I22" s="2"/>
      <c r="J22" s="2"/>
    </row>
    <row r="23" customFormat="false" ht="15" hidden="false" customHeight="false" outlineLevel="0" collapsed="false">
      <c r="A23" s="5" t="s">
        <v>5</v>
      </c>
      <c r="B23" s="5" t="s">
        <v>6</v>
      </c>
      <c r="C23" s="5" t="s">
        <v>7</v>
      </c>
      <c r="D23" s="5" t="s">
        <v>8</v>
      </c>
      <c r="E23" s="5" t="s">
        <v>6</v>
      </c>
      <c r="F23" s="5" t="s">
        <v>7</v>
      </c>
      <c r="G23" s="5" t="s">
        <v>8</v>
      </c>
      <c r="H23" s="5" t="s">
        <v>6</v>
      </c>
      <c r="I23" s="5" t="s">
        <v>7</v>
      </c>
      <c r="J23" s="5" t="s">
        <v>8</v>
      </c>
    </row>
    <row r="24" customFormat="false" ht="15" hidden="false" customHeight="false" outlineLevel="0" collapsed="false">
      <c r="A24" s="6" t="s">
        <v>25</v>
      </c>
      <c r="B24" s="7" t="n">
        <f aca="false">SUM(План!$C$22:$N$22)</f>
        <v>0</v>
      </c>
      <c r="C24" s="7" t="n">
        <f aca="false">SUM(План!$O$22:$Z$22)</f>
        <v>0</v>
      </c>
      <c r="D24" s="7" t="n">
        <f aca="false">SUM(План!$AA$22:$AL$22)</f>
        <v>1</v>
      </c>
      <c r="E24" s="7" t="n">
        <f aca="false">SUM(План!$C$56:$N$56)</f>
        <v>0</v>
      </c>
      <c r="F24" s="7" t="n">
        <f aca="false">SUM(План!$O$56:$Z$56)</f>
        <v>1</v>
      </c>
      <c r="G24" s="7" t="n">
        <f aca="false">SUM(План!$AA$56:$AL$56)</f>
        <v>2</v>
      </c>
      <c r="H24" s="7" t="n">
        <f aca="false">SUM(План!$C$90:$N$90)</f>
        <v>1</v>
      </c>
      <c r="I24" s="7" t="n">
        <f aca="false">SUM(План!$O$90:$Z$90)</f>
        <v>2</v>
      </c>
      <c r="J24" s="7" t="n">
        <f aca="false">SUM(План!$AA$90:$AL$90)</f>
        <v>4</v>
      </c>
    </row>
    <row r="25" customFormat="false" ht="15" hidden="false" customHeight="false" outlineLevel="0" collapsed="false">
      <c r="A25" s="6" t="s">
        <v>10</v>
      </c>
      <c r="B25" s="8" t="n">
        <f aca="false">SUM(План!$C$23:$N$23)</f>
        <v>0</v>
      </c>
      <c r="C25" s="8" t="n">
        <f aca="false">SUM(План!$O$23:$Z$23)</f>
        <v>0</v>
      </c>
      <c r="D25" s="8" t="n">
        <f aca="false">SUM(План!$AA$23:$AL$23)</f>
        <v>4000</v>
      </c>
      <c r="E25" s="8" t="n">
        <f aca="false">SUM(План!$C$57:$N$57)</f>
        <v>0</v>
      </c>
      <c r="F25" s="8" t="n">
        <f aca="false">SUM(План!$O$57:$Z$57)</f>
        <v>7000</v>
      </c>
      <c r="G25" s="8" t="n">
        <f aca="false">SUM(План!$AA$57:$AL$57)</f>
        <v>14000</v>
      </c>
      <c r="H25" s="8" t="n">
        <f aca="false">SUM(План!$C$91:$N$91)</f>
        <v>12000</v>
      </c>
      <c r="I25" s="8" t="n">
        <f aca="false">SUM(План!$O$91:$Z$91)</f>
        <v>24000</v>
      </c>
      <c r="J25" s="8" t="n">
        <f aca="false">SUM(План!$AA$91:$AL$91)</f>
        <v>48000</v>
      </c>
    </row>
    <row r="26" customFormat="false" ht="15" hidden="false" customHeight="false" outlineLevel="0" collapsed="false">
      <c r="A26" s="6" t="s">
        <v>12</v>
      </c>
      <c r="B26" s="8" t="n">
        <f aca="false">SUM(План!$C$26:$N$26)</f>
        <v>0</v>
      </c>
      <c r="C26" s="8" t="n">
        <f aca="false">SUM(План!$O$26:$Z$26)</f>
        <v>0</v>
      </c>
      <c r="D26" s="8" t="n">
        <f aca="false">SUM(План!$AA$26:$AL$26)</f>
        <v>2095200</v>
      </c>
      <c r="E26" s="8" t="n">
        <f aca="false">SUM(План!$C$60:$N$60)</f>
        <v>0</v>
      </c>
      <c r="F26" s="8" t="n">
        <f aca="false">SUM(План!$O$60:$Z$60)</f>
        <v>4583250</v>
      </c>
      <c r="G26" s="8" t="n">
        <f aca="false">SUM(План!$AA$60:$AL$60)</f>
        <v>9166500</v>
      </c>
      <c r="H26" s="8" t="n">
        <f aca="false">SUM(План!$C$94:$N$94)</f>
        <v>10476000</v>
      </c>
      <c r="I26" s="8" t="n">
        <f aca="false">SUM(План!$O$94:$Z$94)</f>
        <v>20952000</v>
      </c>
      <c r="J26" s="8" t="n">
        <f aca="false">SUM(План!$AA$94:$AL$94)</f>
        <v>41904000</v>
      </c>
    </row>
    <row r="27" customFormat="false" ht="15" hidden="false" customHeight="false" outlineLevel="0" collapsed="false">
      <c r="A27" s="6" t="s">
        <v>13</v>
      </c>
      <c r="B27" s="8" t="n">
        <f aca="false">SUM(План!$C$30:$N$30)</f>
        <v>0</v>
      </c>
      <c r="C27" s="8" t="n">
        <f aca="false">SUM(План!$O$30:$Z$30)</f>
        <v>0</v>
      </c>
      <c r="D27" s="8" t="n">
        <f aca="false">SUM(План!$AA$30:$AL$30)</f>
        <v>817392</v>
      </c>
      <c r="E27" s="8" t="n">
        <f aca="false">SUM(План!$C$64:$N$64)</f>
        <v>0</v>
      </c>
      <c r="F27" s="8" t="n">
        <f aca="false">SUM(План!$O$64:$Z$64)</f>
        <v>2310420</v>
      </c>
      <c r="G27" s="8" t="n">
        <f aca="false">SUM(План!$AA$64:$AL$64)</f>
        <v>4620840</v>
      </c>
      <c r="H27" s="8" t="n">
        <f aca="false">SUM(План!$C$98:$N$98)</f>
        <v>6474960</v>
      </c>
      <c r="I27" s="8" t="n">
        <f aca="false">SUM(План!$O$98:$Z$98)</f>
        <v>12949920</v>
      </c>
      <c r="J27" s="8" t="n">
        <f aca="false">SUM(План!$AA$98:$AL$98)</f>
        <v>25899840</v>
      </c>
    </row>
    <row r="28" customFormat="false" ht="15" hidden="false" customHeight="false" outlineLevel="0" collapsed="false">
      <c r="A28" s="6" t="s">
        <v>26</v>
      </c>
      <c r="B28" s="8" t="n">
        <f aca="false">SUM(План!$C$31:$N$31)</f>
        <v>0</v>
      </c>
      <c r="C28" s="8" t="n">
        <f aca="false">SUM(План!$O$31:$Z$31)</f>
        <v>0</v>
      </c>
      <c r="D28" s="8" t="n">
        <f aca="false">SUM(План!$AA$31:$AL$31)</f>
        <v>2000000</v>
      </c>
      <c r="E28" s="8" t="n">
        <f aca="false">SUM(План!$C$65:$N$65)</f>
        <v>0</v>
      </c>
      <c r="F28" s="8" t="n">
        <f aca="false">SUM(План!$O$65:$Z$65)</f>
        <v>1000000</v>
      </c>
      <c r="G28" s="8" t="n">
        <f aca="false">SUM(План!$AA$65:$AL$65)</f>
        <v>2000000</v>
      </c>
      <c r="H28" s="8" t="n">
        <f aca="false">SUM(План!$C$99:$N$99)</f>
        <v>600000</v>
      </c>
      <c r="I28" s="8" t="n">
        <f aca="false">SUM(План!$O$99:$Z$99)</f>
        <v>1200000</v>
      </c>
      <c r="J28" s="8" t="n">
        <f aca="false">SUM(План!$AA$99:$AL$99)</f>
        <v>2400000</v>
      </c>
    </row>
    <row r="29" customFormat="false" ht="15" hidden="false" customHeight="false" outlineLevel="0" collapsed="false">
      <c r="A29" s="4" t="s">
        <v>27</v>
      </c>
      <c r="B29" s="12" t="n">
        <f aca="false">SUM(План!$C$30:$N$30)-SUM(План!$C$31:$N$31)</f>
        <v>0</v>
      </c>
      <c r="C29" s="12" t="n">
        <f aca="false">SUM(План!$O$30:$Z$30)-SUM(План!$O$31:$Z$31)</f>
        <v>0</v>
      </c>
      <c r="D29" s="12" t="n">
        <f aca="false">SUM(План!$AA$30:$AL$30)-SUM(План!$AA$31:$AL$31)</f>
        <v>-1182608</v>
      </c>
      <c r="E29" s="12" t="n">
        <f aca="false">SUM(План!$C$64:$N$64)-SUM(План!$C$65:$N$65)</f>
        <v>0</v>
      </c>
      <c r="F29" s="12" t="n">
        <f aca="false">SUM(План!$O$64:$Z$64)-SUM(План!$O$65:$Z$65)</f>
        <v>1310420</v>
      </c>
      <c r="G29" s="12" t="n">
        <f aca="false">SUM(План!$AA$64:$AL$64)-SUM(План!$AA$65:$AL$65)</f>
        <v>2620840</v>
      </c>
      <c r="H29" s="12" t="n">
        <f aca="false">SUM(План!$C$98:$N$98)-SUM(План!$C$99:$N$99)</f>
        <v>5874960</v>
      </c>
      <c r="I29" s="12" t="n">
        <f aca="false">SUM(План!$O$98:$Z$98)-SUM(План!$O$99:$Z$99)</f>
        <v>11749920</v>
      </c>
      <c r="J29" s="12" t="n">
        <f aca="false">SUM(План!$AA$98:$AL$98)-SUM(План!$AA$99:$AL$99)</f>
        <v>23499840</v>
      </c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customFormat="false" ht="15" hidden="false" customHeight="false" outlineLevel="0" collapsed="false">
      <c r="A31" s="2" t="s">
        <v>28</v>
      </c>
      <c r="B31" s="13" t="n">
        <f aca="false">B19-SUM(B29:D29)</f>
        <v>-30792277.5521084</v>
      </c>
      <c r="C31" s="2"/>
      <c r="D31" s="2"/>
      <c r="E31" s="13" t="n">
        <f aca="false">E19-SUM(E29:G29)</f>
        <v>-14985208.2148159</v>
      </c>
      <c r="F31" s="2"/>
      <c r="G31" s="2"/>
      <c r="H31" s="13" t="n">
        <f aca="false">H19-SUM(H29:J29)</f>
        <v>78607900.5245298</v>
      </c>
      <c r="I31" s="2"/>
      <c r="J3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8"/>
    <col collapsed="false" customWidth="true" hidden="false" outlineLevel="0" max="5" min="3" style="0" width="18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29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30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2"/>
      <c r="B4" s="5" t="s">
        <v>31</v>
      </c>
      <c r="C4" s="5" t="s">
        <v>2</v>
      </c>
      <c r="D4" s="5" t="s">
        <v>3</v>
      </c>
      <c r="E4" s="5" t="s">
        <v>4</v>
      </c>
      <c r="F4" s="2"/>
    </row>
    <row r="5" customFormat="false" ht="15" hidden="false" customHeight="false" outlineLevel="0" collapsed="false">
      <c r="A5" s="2"/>
      <c r="B5" s="6" t="s">
        <v>32</v>
      </c>
      <c r="C5" s="8" t="n">
        <f aca="false">Допущения!$C$22</f>
        <v>5000</v>
      </c>
      <c r="D5" s="8" t="n">
        <f aca="false">Допущения!$D$22</f>
        <v>6000</v>
      </c>
      <c r="E5" s="8" t="n">
        <f aca="false">Допущения!$E$22</f>
        <v>7000</v>
      </c>
      <c r="F5" s="3"/>
    </row>
    <row r="6" customFormat="false" ht="15" hidden="false" customHeight="false" outlineLevel="0" collapsed="false">
      <c r="A6" s="2"/>
      <c r="B6" s="6" t="s">
        <v>33</v>
      </c>
      <c r="C6" s="14" t="n">
        <f aca="false">C5*(Допущения!$C$6+Допущения!$C$7)</f>
        <v>250</v>
      </c>
      <c r="D6" s="14" t="n">
        <f aca="false">D5*(Допущения!$C$6+Допущения!$C$7)</f>
        <v>300</v>
      </c>
      <c r="E6" s="14" t="n">
        <f aca="false">E5*(Допущения!$C$6+Допущения!$C$7)</f>
        <v>350</v>
      </c>
      <c r="F6" s="3"/>
    </row>
    <row r="7" customFormat="false" ht="15" hidden="false" customHeight="false" outlineLevel="0" collapsed="false">
      <c r="A7" s="2"/>
      <c r="B7" s="6" t="s">
        <v>34</v>
      </c>
      <c r="C7" s="14" t="n">
        <f aca="false">C6*(1-Допущения!$C$12)*(1-Допущения!$C$13)</f>
        <v>218.25</v>
      </c>
      <c r="D7" s="14" t="n">
        <f aca="false">D6*(1-Допущения!$C$12)*(1-Допущения!$C$13)</f>
        <v>261.9</v>
      </c>
      <c r="E7" s="14" t="n">
        <f aca="false">E6*(1-Допущения!$C$12)*(1-Допущения!$C$13)</f>
        <v>305.55</v>
      </c>
      <c r="F7" s="3" t="s">
        <v>35</v>
      </c>
    </row>
    <row r="8" customFormat="false" ht="15" hidden="false" customHeight="false" outlineLevel="0" collapsed="false">
      <c r="A8" s="2"/>
      <c r="B8" s="6" t="s">
        <v>36</v>
      </c>
      <c r="C8" s="14" t="n">
        <f aca="false">C5*(1+Допущения!$C$6)*Допущения!$C$23*(1-Допущения!$C$12)</f>
        <v>118.125</v>
      </c>
      <c r="D8" s="14" t="n">
        <f aca="false">D5*(1+Допущения!$C$6)*Допущения!$D$23*(1-Допущения!$C$12)</f>
        <v>113.4</v>
      </c>
      <c r="E8" s="14" t="n">
        <f aca="false">E5*(1+Допущения!$C$6)*Допущения!$E$23*(1-Допущения!$C$12)</f>
        <v>99.225</v>
      </c>
      <c r="F8" s="3" t="s">
        <v>37</v>
      </c>
    </row>
    <row r="9" customFormat="false" ht="15" hidden="false" customHeight="false" outlineLevel="0" collapsed="false">
      <c r="A9" s="2"/>
      <c r="B9" s="6" t="s">
        <v>38</v>
      </c>
      <c r="C9" s="14" t="n">
        <f aca="false">Допущения!$C$10/Допущения!$C$9+Допущения!$C$11</f>
        <v>15</v>
      </c>
      <c r="D9" s="14" t="n">
        <f aca="false">Допущения!$C$10/Допущения!$C$9+Допущения!$C$11</f>
        <v>15</v>
      </c>
      <c r="E9" s="14" t="n">
        <f aca="false">Допущения!$C$10/Допущения!$C$9+Допущения!$C$11</f>
        <v>15</v>
      </c>
      <c r="F9" s="3"/>
    </row>
    <row r="10" customFormat="false" ht="15" hidden="false" customHeight="false" outlineLevel="0" collapsed="false">
      <c r="A10" s="2"/>
      <c r="B10" s="6" t="s">
        <v>39</v>
      </c>
      <c r="C10" s="14" t="n">
        <f aca="false">C7*Допущения!$C$8</f>
        <v>8.73</v>
      </c>
      <c r="D10" s="14" t="n">
        <f aca="false">D7*Допущения!$C$8</f>
        <v>10.476</v>
      </c>
      <c r="E10" s="14" t="n">
        <f aca="false">E7*Допущения!$C$8</f>
        <v>12.222</v>
      </c>
      <c r="F10" s="3"/>
    </row>
    <row r="11" customFormat="false" ht="15" hidden="false" customHeight="false" outlineLevel="0" collapsed="false">
      <c r="A11" s="2"/>
      <c r="B11" s="4" t="s">
        <v>40</v>
      </c>
      <c r="C11" s="12" t="n">
        <f aca="false">C7-C8-C9-C10</f>
        <v>76.395</v>
      </c>
      <c r="D11" s="12" t="n">
        <f aca="false">D7-D8-D9-D10</f>
        <v>123.024</v>
      </c>
      <c r="E11" s="12" t="n">
        <f aca="false">E7-E8-E9-E10</f>
        <v>179.103</v>
      </c>
      <c r="F11" s="3"/>
    </row>
    <row r="12" customFormat="false" ht="15" hidden="false" customHeight="false" outlineLevel="0" collapsed="false">
      <c r="A12" s="2"/>
      <c r="B12" s="4" t="s">
        <v>41</v>
      </c>
      <c r="C12" s="15" t="n">
        <f aca="false">IF(C5=0,0,C11/C5)</f>
        <v>0.015279</v>
      </c>
      <c r="D12" s="15" t="n">
        <f aca="false">IF(D5=0,0,D11/D5)</f>
        <v>0.020504</v>
      </c>
      <c r="E12" s="15" t="n">
        <f aca="false">IF(E5=0,0,E11/E5)</f>
        <v>0.0255861428571429</v>
      </c>
      <c r="F12" s="3" t="s">
        <v>42</v>
      </c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</row>
    <row r="14" customFormat="false" ht="15" hidden="false" customHeight="false" outlineLevel="0" collapsed="false">
      <c r="A14" s="2"/>
      <c r="B14" s="5" t="s">
        <v>43</v>
      </c>
      <c r="C14" s="16"/>
      <c r="D14" s="16"/>
      <c r="E14" s="16"/>
      <c r="F14" s="2"/>
    </row>
    <row r="15" customFormat="false" ht="15" hidden="false" customHeight="false" outlineLevel="0" collapsed="false">
      <c r="A15" s="2"/>
      <c r="B15" s="6" t="s">
        <v>44</v>
      </c>
      <c r="C15" s="17" t="n">
        <f aca="false">Допущения!$C$28*Допущения!$C$29*AVERAGE(Допущения!$C$34:$N$34)</f>
        <v>84.75</v>
      </c>
      <c r="D15" s="17" t="n">
        <f aca="false">Допущения!$D$28*Допущения!$D$29*AVERAGE(Допущения!$C$34:$N$34)</f>
        <v>124.3</v>
      </c>
      <c r="E15" s="17" t="n">
        <f aca="false">Допущения!$E$28*Допущения!$E$29*AVERAGE(Допущения!$C$34:$N$34)</f>
        <v>211.875</v>
      </c>
      <c r="F15" s="3"/>
    </row>
    <row r="16" customFormat="false" ht="15" hidden="false" customHeight="false" outlineLevel="0" collapsed="false">
      <c r="A16" s="2"/>
      <c r="B16" s="6" t="s">
        <v>45</v>
      </c>
      <c r="C16" s="14" t="n">
        <f aca="false">C15*C11</f>
        <v>6474.47625</v>
      </c>
      <c r="D16" s="14" t="n">
        <f aca="false">D15*D11</f>
        <v>15291.8832</v>
      </c>
      <c r="E16" s="14" t="n">
        <f aca="false">E15*E11</f>
        <v>37947.448125</v>
      </c>
      <c r="F16" s="3"/>
    </row>
    <row r="17" customFormat="false" ht="15" hidden="false" customHeight="false" outlineLevel="0" collapsed="false">
      <c r="A17" s="2"/>
      <c r="B17" s="6" t="s">
        <v>46</v>
      </c>
      <c r="C17" s="18" t="n">
        <f aca="false">Допущения!$C$27</f>
        <v>0.06</v>
      </c>
      <c r="D17" s="18" t="n">
        <f aca="false">Допущения!$D$27</f>
        <v>0.045</v>
      </c>
      <c r="E17" s="18" t="n">
        <f aca="false">Допущения!$E$27</f>
        <v>0.035</v>
      </c>
      <c r="F17" s="3"/>
    </row>
    <row r="18" customFormat="false" ht="15" hidden="false" customHeight="false" outlineLevel="0" collapsed="false">
      <c r="A18" s="2"/>
      <c r="B18" s="6" t="s">
        <v>47</v>
      </c>
      <c r="C18" s="17" t="n">
        <f aca="false">IF(C17=0,0,1/C17)</f>
        <v>16.6666666666667</v>
      </c>
      <c r="D18" s="17" t="n">
        <f aca="false">IF(D17=0,0,1/D17)</f>
        <v>22.2222222222222</v>
      </c>
      <c r="E18" s="17" t="n">
        <f aca="false">IF(E17=0,0,1/E17)</f>
        <v>28.5714285714286</v>
      </c>
      <c r="F18" s="3" t="s">
        <v>48</v>
      </c>
    </row>
    <row r="19" customFormat="false" ht="15" hidden="false" customHeight="false" outlineLevel="0" collapsed="false">
      <c r="A19" s="2"/>
      <c r="B19" s="4" t="s">
        <v>49</v>
      </c>
      <c r="C19" s="12" t="n">
        <f aca="false">C16*C18</f>
        <v>107907.9375</v>
      </c>
      <c r="D19" s="12" t="n">
        <f aca="false">D16*D18</f>
        <v>339819.626666667</v>
      </c>
      <c r="E19" s="12" t="n">
        <f aca="false">E16*E18</f>
        <v>1084212.80357143</v>
      </c>
      <c r="F19" s="3"/>
    </row>
    <row r="20" customFormat="false" ht="15" hidden="false" customHeight="false" outlineLevel="0" collapsed="false">
      <c r="A20" s="2"/>
      <c r="B20" s="6" t="s">
        <v>50</v>
      </c>
      <c r="C20" s="8" t="n">
        <f aca="false">Допущения!$C$30</f>
        <v>200000</v>
      </c>
      <c r="D20" s="8" t="n">
        <f aca="false">Допущения!$D$30</f>
        <v>150000</v>
      </c>
      <c r="E20" s="8" t="n">
        <f aca="false">Допущения!$E$30</f>
        <v>100000</v>
      </c>
      <c r="F20" s="3"/>
    </row>
    <row r="21" customFormat="false" ht="15" hidden="false" customHeight="false" outlineLevel="0" collapsed="false">
      <c r="A21" s="2"/>
      <c r="B21" s="4" t="s">
        <v>51</v>
      </c>
      <c r="C21" s="19" t="n">
        <f aca="false">IF(C20=0,0,C19/C20)</f>
        <v>0.5395396875</v>
      </c>
      <c r="D21" s="19" t="n">
        <f aca="false">IF(D20=0,0,D19/D20)</f>
        <v>2.26546417777778</v>
      </c>
      <c r="E21" s="19" t="n">
        <f aca="false">IF(E20=0,0,E19/E20)</f>
        <v>10.8421280357143</v>
      </c>
      <c r="F21" s="3" t="s">
        <v>52</v>
      </c>
    </row>
    <row r="22" customFormat="false" ht="15" hidden="false" customHeight="false" outlineLevel="0" collapsed="false">
      <c r="A22" s="2"/>
      <c r="B22" s="6" t="s">
        <v>53</v>
      </c>
      <c r="C22" s="17" t="n">
        <f aca="false">IF(C16=0,0,C20/C16)</f>
        <v>30.8905295621403</v>
      </c>
      <c r="D22" s="17" t="n">
        <f aca="false">IF(D16=0,0,D20/D16)</f>
        <v>9.80912540582314</v>
      </c>
      <c r="E22" s="17" t="n">
        <f aca="false">IF(E16=0,0,E20/E16)</f>
        <v>2.63522331384701</v>
      </c>
      <c r="F22" s="3" t="s">
        <v>54</v>
      </c>
    </row>
    <row r="23" customFormat="false" ht="15" hidden="false" customHeight="false" outlineLevel="0" collapsed="false">
      <c r="A23" s="2"/>
      <c r="B23" s="4" t="s">
        <v>55</v>
      </c>
      <c r="C23" s="20" t="n">
        <f aca="false">IF(C16=0,0,(Допущения!$D$18+Допущения!$C$15+Допущения!$D$19)/C16)</f>
        <v>71.0482179929226</v>
      </c>
      <c r="D23" s="20" t="n">
        <f aca="false">IF(D16=0,0,(Допущения!$D$18+Допущения!$C$15+Допущения!$D$19)/D16)</f>
        <v>30.081317911191</v>
      </c>
      <c r="E23" s="20" t="n">
        <f aca="false">IF(E16=0,0,(Допущения!$D$18+Допущения!$C$15+Допущения!$D$19)/E16)</f>
        <v>12.1220272436962</v>
      </c>
      <c r="F23" s="3" t="s">
        <v>56</v>
      </c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</row>
    <row r="25" customFormat="false" ht="15" hidden="false" customHeight="false" outlineLevel="0" collapsed="false">
      <c r="A25" s="2"/>
      <c r="B25" s="5" t="s">
        <v>57</v>
      </c>
      <c r="C25" s="5" t="s">
        <v>2</v>
      </c>
      <c r="D25" s="5" t="s">
        <v>3</v>
      </c>
      <c r="E25" s="5" t="s">
        <v>4</v>
      </c>
      <c r="F25" s="2"/>
    </row>
    <row r="26" customFormat="false" ht="15" hidden="false" customHeight="false" outlineLevel="0" collapsed="false">
      <c r="A26" s="2"/>
      <c r="B26" s="6" t="s">
        <v>32</v>
      </c>
      <c r="C26" s="8" t="n">
        <f aca="false">Допущения!$C$42</f>
        <v>12000</v>
      </c>
      <c r="D26" s="8" t="n">
        <f aca="false">Допущения!$D$42</f>
        <v>15000</v>
      </c>
      <c r="E26" s="8" t="n">
        <f aca="false">Допущения!$E$42</f>
        <v>20000</v>
      </c>
      <c r="F26" s="3"/>
    </row>
    <row r="27" customFormat="false" ht="15" hidden="false" customHeight="false" outlineLevel="0" collapsed="false">
      <c r="A27" s="2"/>
      <c r="B27" s="6" t="s">
        <v>33</v>
      </c>
      <c r="C27" s="14" t="n">
        <f aca="false">C26*(Допущения!$C$6+Допущения!$C$7)</f>
        <v>600</v>
      </c>
      <c r="D27" s="14" t="n">
        <f aca="false">D26*(Допущения!$C$6+Допущения!$C$7)</f>
        <v>750</v>
      </c>
      <c r="E27" s="14" t="n">
        <f aca="false">E26*(Допущения!$C$6+Допущения!$C$7)</f>
        <v>1000</v>
      </c>
      <c r="F27" s="3"/>
    </row>
    <row r="28" customFormat="false" ht="15" hidden="false" customHeight="false" outlineLevel="0" collapsed="false">
      <c r="A28" s="2"/>
      <c r="B28" s="6" t="s">
        <v>34</v>
      </c>
      <c r="C28" s="14" t="n">
        <f aca="false">C27*(1-Допущения!$C$12)*(1-Допущения!$C$13)</f>
        <v>523.8</v>
      </c>
      <c r="D28" s="14" t="n">
        <f aca="false">D27*(1-Допущения!$C$12)*(1-Допущения!$C$13)</f>
        <v>654.75</v>
      </c>
      <c r="E28" s="14" t="n">
        <f aca="false">E27*(1-Допущения!$C$12)*(1-Допущения!$C$13)</f>
        <v>873</v>
      </c>
      <c r="F28" s="3" t="s">
        <v>35</v>
      </c>
    </row>
    <row r="29" customFormat="false" ht="15" hidden="false" customHeight="false" outlineLevel="0" collapsed="false">
      <c r="A29" s="2"/>
      <c r="B29" s="6" t="s">
        <v>36</v>
      </c>
      <c r="C29" s="14" t="n">
        <f aca="false">C26*(1+Допущения!$C$6)*Допущения!$C$23*(1-Допущения!$C$12)</f>
        <v>283.5</v>
      </c>
      <c r="D29" s="14" t="n">
        <f aca="false">D26*(1+Допущения!$C$6)*Допущения!$D$23*(1-Допущения!$C$12)</f>
        <v>283.5</v>
      </c>
      <c r="E29" s="14" t="n">
        <f aca="false">E26*(1+Допущения!$C$6)*Допущения!$E$23*(1-Допущения!$C$12)</f>
        <v>283.5</v>
      </c>
      <c r="F29" s="3" t="s">
        <v>58</v>
      </c>
    </row>
    <row r="30" customFormat="false" ht="15" hidden="false" customHeight="false" outlineLevel="0" collapsed="false">
      <c r="A30" s="2"/>
      <c r="B30" s="6" t="s">
        <v>38</v>
      </c>
      <c r="C30" s="14" t="n">
        <f aca="false">Допущения!$C$10/Допущения!$C$9+Допущения!$C$11</f>
        <v>15</v>
      </c>
      <c r="D30" s="14" t="n">
        <f aca="false">Допущения!$C$10/Допущения!$C$9+Допущения!$C$11</f>
        <v>15</v>
      </c>
      <c r="E30" s="14" t="n">
        <f aca="false">Допущения!$C$10/Допущения!$C$9+Допущения!$C$11</f>
        <v>15</v>
      </c>
      <c r="F30" s="3"/>
    </row>
    <row r="31" customFormat="false" ht="15" hidden="false" customHeight="false" outlineLevel="0" collapsed="false">
      <c r="A31" s="2"/>
      <c r="B31" s="6" t="s">
        <v>39</v>
      </c>
      <c r="C31" s="14" t="n">
        <f aca="false">C28*Допущения!$C$8</f>
        <v>20.952</v>
      </c>
      <c r="D31" s="14" t="n">
        <f aca="false">D28*Допущения!$C$8</f>
        <v>26.19</v>
      </c>
      <c r="E31" s="14" t="n">
        <f aca="false">E28*Допущения!$C$8</f>
        <v>34.92</v>
      </c>
      <c r="F31" s="3"/>
    </row>
    <row r="32" customFormat="false" ht="15" hidden="false" customHeight="false" outlineLevel="0" collapsed="false">
      <c r="A32" s="2"/>
      <c r="B32" s="4" t="s">
        <v>40</v>
      </c>
      <c r="C32" s="12" t="n">
        <f aca="false">C28-C29-C30-C31</f>
        <v>204.348</v>
      </c>
      <c r="D32" s="12" t="n">
        <f aca="false">D28-D29-D30-D31</f>
        <v>330.06</v>
      </c>
      <c r="E32" s="12" t="n">
        <f aca="false">E28-E29-E30-E31</f>
        <v>539.58</v>
      </c>
      <c r="F32" s="3"/>
    </row>
    <row r="33" customFormat="false" ht="15" hidden="false" customHeight="false" outlineLevel="0" collapsed="false">
      <c r="A33" s="2"/>
      <c r="B33" s="6" t="s">
        <v>59</v>
      </c>
      <c r="C33" s="8" t="n">
        <f aca="false">Допущения!$C$41</f>
        <v>4000</v>
      </c>
      <c r="D33" s="8" t="n">
        <f aca="false">Допущения!$D$41</f>
        <v>7000</v>
      </c>
      <c r="E33" s="8" t="n">
        <f aca="false">Допущения!$E$41</f>
        <v>12000</v>
      </c>
      <c r="F33" s="3"/>
    </row>
    <row r="34" customFormat="false" ht="15" hidden="false" customHeight="false" outlineLevel="0" collapsed="false">
      <c r="A34" s="2"/>
      <c r="B34" s="6" t="s">
        <v>60</v>
      </c>
      <c r="C34" s="14" t="n">
        <f aca="false">C32*C33</f>
        <v>817392</v>
      </c>
      <c r="D34" s="14" t="n">
        <f aca="false">D32*D33</f>
        <v>2310420</v>
      </c>
      <c r="E34" s="14" t="n">
        <f aca="false">E32*E33</f>
        <v>6474960</v>
      </c>
      <c r="F34" s="3"/>
    </row>
    <row r="35" customFormat="false" ht="15" hidden="false" customHeight="false" outlineLevel="0" collapsed="false">
      <c r="A35" s="2"/>
      <c r="B35" s="6" t="s">
        <v>61</v>
      </c>
      <c r="C35" s="8" t="n">
        <f aca="false">Допущения!$C$43</f>
        <v>2000000</v>
      </c>
      <c r="D35" s="8" t="n">
        <f aca="false">Допущения!$D$43</f>
        <v>1000000</v>
      </c>
      <c r="E35" s="8" t="n">
        <f aca="false">Допущения!$E$43</f>
        <v>600000</v>
      </c>
      <c r="F35" s="3" t="s">
        <v>62</v>
      </c>
    </row>
    <row r="36" customFormat="false" ht="15" hidden="false" customHeight="false" outlineLevel="0" collapsed="false">
      <c r="A36" s="2"/>
      <c r="B36" s="4" t="s">
        <v>63</v>
      </c>
      <c r="C36" s="12" t="n">
        <f aca="false">C34-C35</f>
        <v>-1182608</v>
      </c>
      <c r="D36" s="12" t="n">
        <f aca="false">D34-D35</f>
        <v>1310420</v>
      </c>
      <c r="E36" s="12" t="n">
        <f aca="false">E34-E35</f>
        <v>5874960</v>
      </c>
      <c r="F36" s="3"/>
    </row>
    <row r="37" customFormat="false" ht="15" hidden="false" customHeight="false" outlineLevel="0" collapsed="false">
      <c r="A37" s="2"/>
      <c r="B37" s="4" t="s">
        <v>64</v>
      </c>
      <c r="C37" s="21" t="n">
        <f aca="false">IF(C32&lt;=0,"нет",C35/C32)</f>
        <v>9787.2257129994</v>
      </c>
      <c r="D37" s="21" t="n">
        <f aca="false">IF(D32&lt;=0,"нет",D35/D32)</f>
        <v>3029.7521662728</v>
      </c>
      <c r="E37" s="21" t="n">
        <f aca="false">IF(E32&lt;=0,"нет",E35/E32)</f>
        <v>1111.9759813188</v>
      </c>
      <c r="F37" s="3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5" min="3" style="0" width="16"/>
    <col collapsed="false" customWidth="true" hidden="false" outlineLevel="0" max="6" min="6" style="0" width="12"/>
    <col collapsed="false" customWidth="true" hidden="false" outlineLevel="0" max="7" min="7" style="0" width="90"/>
    <col collapsed="false" customWidth="true" hidden="false" outlineLevel="0" max="14" min="8" style="0" width="7"/>
  </cols>
  <sheetData>
    <row r="1" customFormat="false" ht="17.35" hidden="false" customHeight="false" outlineLevel="0" collapsed="false">
      <c r="A1" s="1" t="s">
        <v>66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false" outlineLevel="0" collapsed="false">
      <c r="A2" s="3" t="s">
        <v>67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15" hidden="false" customHeight="false" outlineLevel="0" collapsed="false">
      <c r="A4" s="2"/>
      <c r="B4" s="4" t="s">
        <v>68</v>
      </c>
      <c r="C4" s="4" t="s">
        <v>69</v>
      </c>
      <c r="D4" s="2"/>
      <c r="E4" s="2"/>
      <c r="F4" s="2"/>
      <c r="G4" s="4" t="s">
        <v>70</v>
      </c>
      <c r="H4" s="2"/>
      <c r="I4" s="2"/>
      <c r="J4" s="2"/>
      <c r="K4" s="2"/>
      <c r="L4" s="2"/>
      <c r="M4" s="2"/>
      <c r="N4" s="2"/>
    </row>
    <row r="5" customFormat="false" ht="15" hidden="false" customHeight="false" outlineLevel="0" collapsed="false">
      <c r="A5" s="2"/>
      <c r="B5" s="6" t="s">
        <v>71</v>
      </c>
      <c r="C5" s="22" t="n">
        <v>46539</v>
      </c>
      <c r="D5" s="2"/>
      <c r="E5" s="2"/>
      <c r="F5" s="3"/>
      <c r="G5" s="3" t="s">
        <v>72</v>
      </c>
      <c r="H5" s="2"/>
      <c r="I5" s="2"/>
      <c r="J5" s="2"/>
      <c r="K5" s="2"/>
      <c r="L5" s="2"/>
      <c r="M5" s="2"/>
      <c r="N5" s="2"/>
    </row>
    <row r="6" customFormat="false" ht="15" hidden="false" customHeight="false" outlineLevel="0" collapsed="false">
      <c r="A6" s="2"/>
      <c r="B6" s="6" t="s">
        <v>73</v>
      </c>
      <c r="C6" s="23" t="n">
        <v>0.05</v>
      </c>
      <c r="D6" s="2"/>
      <c r="E6" s="2"/>
      <c r="F6" s="3" t="s">
        <v>74</v>
      </c>
      <c r="G6" s="3" t="s">
        <v>75</v>
      </c>
      <c r="H6" s="2"/>
      <c r="I6" s="2"/>
      <c r="J6" s="2"/>
      <c r="K6" s="2"/>
      <c r="L6" s="2"/>
      <c r="M6" s="2"/>
      <c r="N6" s="2"/>
    </row>
    <row r="7" customFormat="false" ht="15" hidden="false" customHeight="false" outlineLevel="0" collapsed="false">
      <c r="A7" s="2"/>
      <c r="B7" s="6" t="s">
        <v>76</v>
      </c>
      <c r="C7" s="23" t="n">
        <v>0</v>
      </c>
      <c r="D7" s="2"/>
      <c r="E7" s="2"/>
      <c r="F7" s="3" t="s">
        <v>74</v>
      </c>
      <c r="G7" s="3" t="s">
        <v>77</v>
      </c>
      <c r="H7" s="2"/>
      <c r="I7" s="2"/>
      <c r="J7" s="2"/>
      <c r="K7" s="2"/>
      <c r="L7" s="2"/>
      <c r="M7" s="2"/>
      <c r="N7" s="2"/>
    </row>
    <row r="8" customFormat="false" ht="15" hidden="false" customHeight="false" outlineLevel="0" collapsed="false">
      <c r="A8" s="2"/>
      <c r="B8" s="6" t="s">
        <v>78</v>
      </c>
      <c r="C8" s="24" t="n">
        <v>0.04</v>
      </c>
      <c r="D8" s="2"/>
      <c r="E8" s="2"/>
      <c r="F8" s="3" t="s">
        <v>79</v>
      </c>
      <c r="G8" s="3" t="s">
        <v>80</v>
      </c>
      <c r="H8" s="2"/>
      <c r="I8" s="2"/>
      <c r="J8" s="2"/>
      <c r="K8" s="2"/>
      <c r="L8" s="2"/>
      <c r="M8" s="2"/>
      <c r="N8" s="2"/>
    </row>
    <row r="9" customFormat="false" ht="15" hidden="false" customHeight="false" outlineLevel="0" collapsed="false">
      <c r="A9" s="2"/>
      <c r="B9" s="6" t="s">
        <v>81</v>
      </c>
      <c r="C9" s="25" t="n">
        <v>2</v>
      </c>
      <c r="D9" s="2"/>
      <c r="E9" s="2"/>
      <c r="F9" s="3" t="s">
        <v>82</v>
      </c>
      <c r="G9" s="3" t="s">
        <v>83</v>
      </c>
      <c r="H9" s="2"/>
      <c r="I9" s="2"/>
      <c r="J9" s="2"/>
      <c r="K9" s="2"/>
      <c r="L9" s="2"/>
      <c r="M9" s="2"/>
      <c r="N9" s="2"/>
    </row>
    <row r="10" customFormat="false" ht="15" hidden="false" customHeight="false" outlineLevel="0" collapsed="false">
      <c r="A10" s="2"/>
      <c r="B10" s="6" t="s">
        <v>84</v>
      </c>
      <c r="C10" s="26" t="n">
        <v>20</v>
      </c>
      <c r="D10" s="2"/>
      <c r="E10" s="2"/>
      <c r="F10" s="3" t="s">
        <v>85</v>
      </c>
      <c r="G10" s="3" t="s">
        <v>86</v>
      </c>
      <c r="H10" s="2"/>
      <c r="I10" s="2"/>
      <c r="J10" s="2"/>
      <c r="K10" s="2"/>
      <c r="L10" s="2"/>
      <c r="M10" s="2"/>
      <c r="N10" s="2"/>
    </row>
    <row r="11" customFormat="false" ht="15" hidden="false" customHeight="false" outlineLevel="0" collapsed="false">
      <c r="A11" s="2"/>
      <c r="B11" s="6" t="s">
        <v>87</v>
      </c>
      <c r="C11" s="26" t="n">
        <v>5</v>
      </c>
      <c r="D11" s="2"/>
      <c r="E11" s="2"/>
      <c r="F11" s="3" t="s">
        <v>85</v>
      </c>
      <c r="G11" s="3" t="s">
        <v>88</v>
      </c>
      <c r="H11" s="2"/>
      <c r="I11" s="2"/>
      <c r="J11" s="2"/>
      <c r="K11" s="2"/>
      <c r="L11" s="2"/>
      <c r="M11" s="2"/>
      <c r="N11" s="2"/>
    </row>
    <row r="12" customFormat="false" ht="15" hidden="false" customHeight="false" outlineLevel="0" collapsed="false">
      <c r="A12" s="2"/>
      <c r="B12" s="6" t="s">
        <v>89</v>
      </c>
      <c r="C12" s="24" t="n">
        <v>0.1</v>
      </c>
      <c r="D12" s="2"/>
      <c r="E12" s="2"/>
      <c r="F12" s="3" t="s">
        <v>90</v>
      </c>
      <c r="G12" s="3" t="s">
        <v>91</v>
      </c>
      <c r="H12" s="2"/>
      <c r="I12" s="2"/>
      <c r="J12" s="2"/>
      <c r="K12" s="2"/>
      <c r="L12" s="2"/>
      <c r="M12" s="2"/>
      <c r="N12" s="2"/>
    </row>
    <row r="13" customFormat="false" ht="15" hidden="false" customHeight="false" outlineLevel="0" collapsed="false">
      <c r="A13" s="2"/>
      <c r="B13" s="6" t="s">
        <v>92</v>
      </c>
      <c r="C13" s="24" t="n">
        <v>0.03</v>
      </c>
      <c r="D13" s="2"/>
      <c r="E13" s="2"/>
      <c r="F13" s="3" t="s">
        <v>93</v>
      </c>
      <c r="G13" s="3" t="s">
        <v>94</v>
      </c>
      <c r="H13" s="2"/>
      <c r="I13" s="2"/>
      <c r="J13" s="2"/>
      <c r="K13" s="2"/>
      <c r="L13" s="2"/>
      <c r="M13" s="2"/>
      <c r="N13" s="2"/>
    </row>
    <row r="14" customFormat="false" ht="15" hidden="false" customHeight="false" outlineLevel="0" collapsed="false">
      <c r="A14" s="2"/>
      <c r="B14" s="6" t="s">
        <v>95</v>
      </c>
      <c r="C14" s="26" t="n">
        <v>800000</v>
      </c>
      <c r="D14" s="2"/>
      <c r="E14" s="2"/>
      <c r="F14" s="3" t="s">
        <v>85</v>
      </c>
      <c r="G14" s="3" t="s">
        <v>96</v>
      </c>
      <c r="H14" s="2"/>
      <c r="I14" s="2"/>
      <c r="J14" s="2"/>
      <c r="K14" s="2"/>
      <c r="L14" s="2"/>
      <c r="M14" s="2"/>
      <c r="N14" s="2"/>
    </row>
    <row r="15" customFormat="false" ht="15" hidden="false" customHeight="false" outlineLevel="0" collapsed="false">
      <c r="A15" s="2"/>
      <c r="B15" s="6" t="s">
        <v>97</v>
      </c>
      <c r="C15" s="26" t="n">
        <v>40000</v>
      </c>
      <c r="D15" s="2"/>
      <c r="E15" s="2"/>
      <c r="F15" s="3" t="s">
        <v>98</v>
      </c>
      <c r="G15" s="3" t="s">
        <v>99</v>
      </c>
      <c r="H15" s="2"/>
      <c r="I15" s="2"/>
      <c r="J15" s="2"/>
      <c r="K15" s="2"/>
      <c r="L15" s="2"/>
      <c r="M15" s="2"/>
      <c r="N15" s="2"/>
    </row>
    <row r="16" customFormat="false" ht="1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customFormat="false" ht="15" hidden="false" customHeight="false" outlineLevel="0" collapsed="false">
      <c r="A17" s="2"/>
      <c r="B17" s="4" t="s">
        <v>100</v>
      </c>
      <c r="C17" s="4" t="s">
        <v>6</v>
      </c>
      <c r="D17" s="4" t="s">
        <v>7</v>
      </c>
      <c r="E17" s="4" t="s">
        <v>8</v>
      </c>
      <c r="F17" s="2"/>
      <c r="G17" s="2"/>
      <c r="H17" s="2"/>
      <c r="I17" s="2"/>
      <c r="J17" s="2"/>
      <c r="K17" s="2"/>
      <c r="L17" s="2"/>
      <c r="M17" s="2"/>
      <c r="N17" s="2"/>
    </row>
    <row r="18" customFormat="false" ht="15" hidden="false" customHeight="false" outlineLevel="0" collapsed="false">
      <c r="A18" s="2"/>
      <c r="B18" s="2" t="s">
        <v>101</v>
      </c>
      <c r="C18" s="26" t="n">
        <v>60000</v>
      </c>
      <c r="D18" s="26" t="n">
        <v>120000</v>
      </c>
      <c r="E18" s="26" t="n">
        <v>200000</v>
      </c>
      <c r="F18" s="3" t="s">
        <v>98</v>
      </c>
      <c r="G18" s="3" t="s">
        <v>102</v>
      </c>
      <c r="H18" s="2"/>
      <c r="I18" s="2"/>
      <c r="J18" s="2"/>
      <c r="K18" s="2"/>
      <c r="L18" s="2"/>
      <c r="M18" s="2"/>
      <c r="N18" s="2"/>
    </row>
    <row r="19" customFormat="false" ht="15" hidden="false" customHeight="false" outlineLevel="0" collapsed="false">
      <c r="A19" s="2"/>
      <c r="B19" s="2" t="s">
        <v>103</v>
      </c>
      <c r="C19" s="27" t="n">
        <v>0</v>
      </c>
      <c r="D19" s="27" t="n">
        <v>300000</v>
      </c>
      <c r="E19" s="27" t="n">
        <v>500000</v>
      </c>
      <c r="F19" s="3" t="s">
        <v>98</v>
      </c>
      <c r="G19" s="3" t="s">
        <v>104</v>
      </c>
      <c r="H19" s="2"/>
      <c r="I19" s="2"/>
      <c r="J19" s="2"/>
      <c r="K19" s="2"/>
      <c r="L19" s="2"/>
      <c r="M19" s="2"/>
      <c r="N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customFormat="false" ht="15" hidden="false" customHeight="false" outlineLevel="0" collapsed="false">
      <c r="A21" s="2"/>
      <c r="B21" s="4" t="s">
        <v>105</v>
      </c>
      <c r="C21" s="4" t="s">
        <v>2</v>
      </c>
      <c r="D21" s="4" t="s">
        <v>3</v>
      </c>
      <c r="E21" s="4" t="s">
        <v>4</v>
      </c>
      <c r="F21" s="2"/>
      <c r="G21" s="2"/>
      <c r="H21" s="2"/>
      <c r="I21" s="2"/>
      <c r="J21" s="2"/>
      <c r="K21" s="2"/>
      <c r="L21" s="2"/>
      <c r="M21" s="2"/>
      <c r="N21" s="2"/>
    </row>
    <row r="22" customFormat="false" ht="15" hidden="false" customHeight="false" outlineLevel="0" collapsed="false">
      <c r="A22" s="2"/>
      <c r="B22" s="2" t="s">
        <v>106</v>
      </c>
      <c r="C22" s="27" t="n">
        <v>5000</v>
      </c>
      <c r="D22" s="27" t="n">
        <v>6000</v>
      </c>
      <c r="E22" s="27" t="n">
        <v>7000</v>
      </c>
      <c r="F22" s="3" t="s">
        <v>85</v>
      </c>
      <c r="G22" s="3" t="s">
        <v>107</v>
      </c>
      <c r="H22" s="2"/>
      <c r="I22" s="2"/>
      <c r="J22" s="2"/>
      <c r="K22" s="2"/>
      <c r="L22" s="2"/>
      <c r="M22" s="2"/>
      <c r="N22" s="2"/>
    </row>
    <row r="23" customFormat="false" ht="15" hidden="false" customHeight="false" outlineLevel="0" collapsed="false">
      <c r="A23" s="2"/>
      <c r="B23" s="2" t="s">
        <v>108</v>
      </c>
      <c r="C23" s="24" t="n">
        <v>0.025</v>
      </c>
      <c r="D23" s="24" t="n">
        <v>0.02</v>
      </c>
      <c r="E23" s="24" t="n">
        <v>0.015</v>
      </c>
      <c r="F23" s="3" t="s">
        <v>109</v>
      </c>
      <c r="G23" s="3" t="s">
        <v>110</v>
      </c>
      <c r="H23" s="2"/>
      <c r="I23" s="2"/>
      <c r="J23" s="2"/>
      <c r="K23" s="2"/>
      <c r="L23" s="2"/>
      <c r="M23" s="2"/>
      <c r="N23" s="2"/>
    </row>
    <row r="24" customFormat="false" ht="15" hidden="false" customHeight="false" outlineLevel="0" collapsed="false">
      <c r="A24" s="2"/>
      <c r="B24" s="2" t="s">
        <v>111</v>
      </c>
      <c r="C24" s="28" t="n">
        <v>1.5</v>
      </c>
      <c r="D24" s="28" t="n">
        <v>3</v>
      </c>
      <c r="E24" s="28" t="n">
        <v>5</v>
      </c>
      <c r="F24" s="3" t="s">
        <v>112</v>
      </c>
      <c r="G24" s="3" t="s">
        <v>113</v>
      </c>
      <c r="H24" s="2"/>
      <c r="I24" s="2"/>
      <c r="J24" s="2"/>
      <c r="K24" s="2"/>
      <c r="L24" s="2"/>
      <c r="M24" s="2"/>
      <c r="N24" s="2"/>
    </row>
    <row r="25" customFormat="false" ht="15" hidden="false" customHeight="false" outlineLevel="0" collapsed="false">
      <c r="A25" s="2"/>
      <c r="B25" s="2" t="s">
        <v>114</v>
      </c>
      <c r="C25" s="28" t="n">
        <v>3</v>
      </c>
      <c r="D25" s="28" t="n">
        <v>5</v>
      </c>
      <c r="E25" s="28" t="n">
        <v>8</v>
      </c>
      <c r="F25" s="3" t="s">
        <v>112</v>
      </c>
      <c r="G25" s="3" t="s">
        <v>115</v>
      </c>
      <c r="H25" s="2"/>
      <c r="I25" s="2"/>
      <c r="J25" s="2"/>
      <c r="K25" s="2"/>
      <c r="L25" s="2"/>
      <c r="M25" s="2"/>
      <c r="N25" s="2"/>
    </row>
    <row r="26" customFormat="false" ht="15" hidden="false" customHeight="false" outlineLevel="0" collapsed="false">
      <c r="A26" s="2"/>
      <c r="B26" s="2" t="s">
        <v>116</v>
      </c>
      <c r="C26" s="28" t="n">
        <v>4</v>
      </c>
      <c r="D26" s="28" t="n">
        <v>7</v>
      </c>
      <c r="E26" s="28" t="n">
        <v>11</v>
      </c>
      <c r="F26" s="3" t="s">
        <v>112</v>
      </c>
      <c r="G26" s="3" t="s">
        <v>117</v>
      </c>
      <c r="H26" s="2"/>
      <c r="I26" s="2"/>
      <c r="J26" s="2"/>
      <c r="K26" s="2"/>
      <c r="L26" s="2"/>
      <c r="M26" s="2"/>
      <c r="N26" s="2"/>
    </row>
    <row r="27" customFormat="false" ht="15" hidden="false" customHeight="false" outlineLevel="0" collapsed="false">
      <c r="A27" s="2"/>
      <c r="B27" s="2" t="s">
        <v>118</v>
      </c>
      <c r="C27" s="24" t="n">
        <v>0.06</v>
      </c>
      <c r="D27" s="24" t="n">
        <v>0.045</v>
      </c>
      <c r="E27" s="24" t="n">
        <v>0.035</v>
      </c>
      <c r="F27" s="3" t="s">
        <v>119</v>
      </c>
      <c r="G27" s="3" t="s">
        <v>120</v>
      </c>
      <c r="H27" s="2"/>
      <c r="I27" s="2"/>
      <c r="J27" s="2"/>
      <c r="K27" s="2"/>
      <c r="L27" s="2"/>
      <c r="M27" s="2"/>
      <c r="N27" s="2"/>
    </row>
    <row r="28" customFormat="false" ht="15" hidden="false" customHeight="false" outlineLevel="0" collapsed="false">
      <c r="A28" s="2"/>
      <c r="B28" s="2" t="s">
        <v>121</v>
      </c>
      <c r="C28" s="25" t="n">
        <v>1</v>
      </c>
      <c r="D28" s="25" t="n">
        <v>1.2</v>
      </c>
      <c r="E28" s="25" t="n">
        <v>1.5</v>
      </c>
      <c r="F28" s="3" t="s">
        <v>82</v>
      </c>
      <c r="G28" s="3" t="s">
        <v>122</v>
      </c>
      <c r="H28" s="2"/>
      <c r="I28" s="2"/>
      <c r="J28" s="2"/>
      <c r="K28" s="2"/>
      <c r="L28" s="2"/>
      <c r="M28" s="2"/>
      <c r="N28" s="2"/>
    </row>
    <row r="29" customFormat="false" ht="15" hidden="false" customHeight="false" outlineLevel="0" collapsed="false">
      <c r="A29" s="2"/>
      <c r="B29" s="2" t="s">
        <v>59</v>
      </c>
      <c r="C29" s="25" t="n">
        <v>90</v>
      </c>
      <c r="D29" s="25" t="n">
        <v>110</v>
      </c>
      <c r="E29" s="25" t="n">
        <v>150</v>
      </c>
      <c r="F29" s="3" t="s">
        <v>82</v>
      </c>
      <c r="G29" s="3" t="s">
        <v>123</v>
      </c>
      <c r="H29" s="2"/>
      <c r="I29" s="2"/>
      <c r="J29" s="2"/>
      <c r="K29" s="2"/>
      <c r="L29" s="2"/>
      <c r="M29" s="2"/>
      <c r="N29" s="2"/>
    </row>
    <row r="30" customFormat="false" ht="15" hidden="false" customHeight="false" outlineLevel="0" collapsed="false">
      <c r="A30" s="2"/>
      <c r="B30" s="2" t="s">
        <v>124</v>
      </c>
      <c r="C30" s="26" t="n">
        <v>200000</v>
      </c>
      <c r="D30" s="26" t="n">
        <v>150000</v>
      </c>
      <c r="E30" s="26" t="n">
        <v>100000</v>
      </c>
      <c r="F30" s="3" t="s">
        <v>85</v>
      </c>
      <c r="G30" s="3" t="s">
        <v>125</v>
      </c>
      <c r="H30" s="2"/>
      <c r="I30" s="2"/>
      <c r="J30" s="2"/>
      <c r="K30" s="2"/>
      <c r="L30" s="2"/>
      <c r="M30" s="2"/>
      <c r="N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customFormat="false" ht="15" hidden="false" customHeight="false" outlineLevel="0" collapsed="false">
      <c r="A32" s="2"/>
      <c r="B32" s="4" t="s">
        <v>126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customFormat="false" ht="15" hidden="false" customHeight="false" outlineLevel="0" collapsed="false">
      <c r="A33" s="2"/>
      <c r="B33" s="2"/>
      <c r="C33" s="4" t="s">
        <v>127</v>
      </c>
      <c r="D33" s="4" t="s">
        <v>128</v>
      </c>
      <c r="E33" s="4" t="s">
        <v>129</v>
      </c>
      <c r="F33" s="4" t="s">
        <v>130</v>
      </c>
      <c r="G33" s="4" t="s">
        <v>131</v>
      </c>
      <c r="H33" s="4" t="s">
        <v>132</v>
      </c>
      <c r="I33" s="4" t="s">
        <v>133</v>
      </c>
      <c r="J33" s="4" t="s">
        <v>134</v>
      </c>
      <c r="K33" s="4" t="s">
        <v>135</v>
      </c>
      <c r="L33" s="4" t="s">
        <v>136</v>
      </c>
      <c r="M33" s="4" t="s">
        <v>137</v>
      </c>
      <c r="N33" s="4" t="s">
        <v>138</v>
      </c>
    </row>
    <row r="34" customFormat="false" ht="15" hidden="false" customHeight="false" outlineLevel="0" collapsed="false">
      <c r="A34" s="2"/>
      <c r="B34" s="2" t="s">
        <v>139</v>
      </c>
      <c r="C34" s="29" t="n">
        <v>0.8</v>
      </c>
      <c r="D34" s="29" t="n">
        <v>0.9</v>
      </c>
      <c r="E34" s="29" t="n">
        <v>1</v>
      </c>
      <c r="F34" s="29" t="n">
        <v>1</v>
      </c>
      <c r="G34" s="29" t="n">
        <v>1</v>
      </c>
      <c r="H34" s="29" t="n">
        <v>0.8</v>
      </c>
      <c r="I34" s="29" t="n">
        <v>0.6</v>
      </c>
      <c r="J34" s="29" t="n">
        <v>0.6</v>
      </c>
      <c r="K34" s="29" t="n">
        <v>1</v>
      </c>
      <c r="L34" s="29" t="n">
        <v>1.1</v>
      </c>
      <c r="M34" s="29" t="n">
        <v>1.2</v>
      </c>
      <c r="N34" s="29" t="n">
        <v>1.3</v>
      </c>
    </row>
    <row r="35" customFormat="false" ht="15" hidden="false" customHeight="false" outlineLevel="0" collapsed="false">
      <c r="A35" s="2"/>
      <c r="B35" s="3" t="s">
        <v>140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customFormat="false" ht="15" hidden="false" customHeight="false" outlineLevel="0" collapsed="false">
      <c r="A37" s="2"/>
      <c r="B37" s="4" t="s">
        <v>141</v>
      </c>
      <c r="C37" s="4" t="s">
        <v>2</v>
      </c>
      <c r="D37" s="4" t="s">
        <v>3</v>
      </c>
      <c r="E37" s="4" t="s">
        <v>4</v>
      </c>
      <c r="F37" s="2"/>
      <c r="G37" s="3" t="s">
        <v>142</v>
      </c>
      <c r="H37" s="2"/>
      <c r="I37" s="2"/>
      <c r="J37" s="2"/>
      <c r="K37" s="2"/>
      <c r="L37" s="2"/>
      <c r="M37" s="2"/>
      <c r="N37" s="2"/>
    </row>
    <row r="38" customFormat="false" ht="15" hidden="false" customHeight="false" outlineLevel="0" collapsed="false">
      <c r="A38" s="2"/>
      <c r="B38" s="2" t="s">
        <v>143</v>
      </c>
      <c r="C38" s="28" t="n">
        <v>0</v>
      </c>
      <c r="D38" s="28" t="n">
        <v>0</v>
      </c>
      <c r="E38" s="28" t="n">
        <v>1</v>
      </c>
      <c r="F38" s="3" t="s">
        <v>144</v>
      </c>
      <c r="G38" s="3" t="s">
        <v>145</v>
      </c>
      <c r="H38" s="2"/>
      <c r="I38" s="2"/>
      <c r="J38" s="2"/>
      <c r="K38" s="2"/>
      <c r="L38" s="2"/>
      <c r="M38" s="2"/>
      <c r="N38" s="2"/>
    </row>
    <row r="39" customFormat="false" ht="15" hidden="false" customHeight="false" outlineLevel="0" collapsed="false">
      <c r="A39" s="2"/>
      <c r="B39" s="2" t="s">
        <v>146</v>
      </c>
      <c r="C39" s="28" t="n">
        <v>0</v>
      </c>
      <c r="D39" s="28" t="n">
        <v>1</v>
      </c>
      <c r="E39" s="28" t="n">
        <v>2</v>
      </c>
      <c r="F39" s="3" t="s">
        <v>144</v>
      </c>
      <c r="G39" s="3" t="s">
        <v>147</v>
      </c>
      <c r="H39" s="2"/>
      <c r="I39" s="2"/>
      <c r="J39" s="2"/>
      <c r="K39" s="2"/>
      <c r="L39" s="2"/>
      <c r="M39" s="2"/>
      <c r="N39" s="2"/>
    </row>
    <row r="40" customFormat="false" ht="15" hidden="false" customHeight="false" outlineLevel="0" collapsed="false">
      <c r="A40" s="2"/>
      <c r="B40" s="2" t="s">
        <v>148</v>
      </c>
      <c r="C40" s="28" t="n">
        <v>1</v>
      </c>
      <c r="D40" s="28" t="n">
        <v>2</v>
      </c>
      <c r="E40" s="28" t="n">
        <v>4</v>
      </c>
      <c r="F40" s="3" t="s">
        <v>144</v>
      </c>
      <c r="G40" s="3" t="s">
        <v>149</v>
      </c>
      <c r="H40" s="2"/>
      <c r="I40" s="2"/>
      <c r="J40" s="2"/>
      <c r="K40" s="2"/>
      <c r="L40" s="2"/>
      <c r="M40" s="2"/>
      <c r="N40" s="2"/>
    </row>
    <row r="41" customFormat="false" ht="15" hidden="false" customHeight="false" outlineLevel="0" collapsed="false">
      <c r="A41" s="2"/>
      <c r="B41" s="2" t="s">
        <v>150</v>
      </c>
      <c r="C41" s="27" t="n">
        <v>4000</v>
      </c>
      <c r="D41" s="27" t="n">
        <v>7000</v>
      </c>
      <c r="E41" s="27" t="n">
        <v>12000</v>
      </c>
      <c r="F41" s="3" t="s">
        <v>82</v>
      </c>
      <c r="G41" s="3" t="s">
        <v>151</v>
      </c>
      <c r="H41" s="2"/>
      <c r="I41" s="2"/>
      <c r="J41" s="2"/>
      <c r="K41" s="2"/>
      <c r="L41" s="2"/>
      <c r="M41" s="2"/>
      <c r="N41" s="2"/>
    </row>
    <row r="42" customFormat="false" ht="15" hidden="false" customHeight="false" outlineLevel="0" collapsed="false">
      <c r="A42" s="2"/>
      <c r="B42" s="2" t="s">
        <v>152</v>
      </c>
      <c r="C42" s="27" t="n">
        <v>12000</v>
      </c>
      <c r="D42" s="27" t="n">
        <v>15000</v>
      </c>
      <c r="E42" s="27" t="n">
        <v>20000</v>
      </c>
      <c r="F42" s="3" t="s">
        <v>85</v>
      </c>
      <c r="G42" s="3" t="s">
        <v>153</v>
      </c>
      <c r="H42" s="2"/>
      <c r="I42" s="2"/>
      <c r="J42" s="2"/>
      <c r="K42" s="2"/>
      <c r="L42" s="2"/>
      <c r="M42" s="2"/>
      <c r="N42" s="2"/>
    </row>
    <row r="43" customFormat="false" ht="15" hidden="false" customHeight="false" outlineLevel="0" collapsed="false">
      <c r="A43" s="2"/>
      <c r="B43" s="2" t="s">
        <v>154</v>
      </c>
      <c r="C43" s="27" t="n">
        <v>2000000</v>
      </c>
      <c r="D43" s="27" t="n">
        <v>1000000</v>
      </c>
      <c r="E43" s="27" t="n">
        <v>600000</v>
      </c>
      <c r="F43" s="3" t="s">
        <v>85</v>
      </c>
      <c r="G43" s="3" t="s">
        <v>155</v>
      </c>
      <c r="H43" s="2"/>
      <c r="I43" s="2"/>
      <c r="J43" s="2"/>
      <c r="K43" s="2"/>
      <c r="L43" s="2"/>
      <c r="M43" s="2"/>
      <c r="N43" s="2"/>
    </row>
    <row r="44" customFormat="false" ht="15" hidden="false" customHeight="false" outlineLevel="0" collapsed="false">
      <c r="A44" s="2"/>
      <c r="B44" s="3" t="s">
        <v>156</v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L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38" min="3" style="0" width="12"/>
  </cols>
  <sheetData>
    <row r="1" customFormat="false" ht="17.35" hidden="false" customHeight="false" outlineLevel="0" collapsed="false">
      <c r="A1" s="1" t="s">
        <v>157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</row>
    <row r="2" customFormat="false" ht="15" hidden="false" customHeight="false" outlineLevel="0" collapsed="false">
      <c r="A2" s="3" t="s">
        <v>158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</row>
    <row r="4" customFormat="false" ht="15" hidden="false" customHeight="false" outlineLevel="0" collapsed="false">
      <c r="A4" s="5" t="s">
        <v>159</v>
      </c>
      <c r="B4" s="16"/>
      <c r="C4" s="5" t="n">
        <v>1</v>
      </c>
      <c r="D4" s="5" t="n">
        <v>2</v>
      </c>
      <c r="E4" s="5" t="n">
        <v>3</v>
      </c>
      <c r="F4" s="5" t="n">
        <v>4</v>
      </c>
      <c r="G4" s="5" t="n">
        <v>5</v>
      </c>
      <c r="H4" s="5" t="n">
        <v>6</v>
      </c>
      <c r="I4" s="5" t="n">
        <v>7</v>
      </c>
      <c r="J4" s="5" t="n">
        <v>8</v>
      </c>
      <c r="K4" s="5" t="n">
        <v>9</v>
      </c>
      <c r="L4" s="5" t="n">
        <v>10</v>
      </c>
      <c r="M4" s="5" t="n">
        <v>11</v>
      </c>
      <c r="N4" s="5" t="n">
        <v>12</v>
      </c>
      <c r="O4" s="5" t="n">
        <v>13</v>
      </c>
      <c r="P4" s="5" t="n">
        <v>14</v>
      </c>
      <c r="Q4" s="5" t="n">
        <v>15</v>
      </c>
      <c r="R4" s="5" t="n">
        <v>16</v>
      </c>
      <c r="S4" s="5" t="n">
        <v>17</v>
      </c>
      <c r="T4" s="5" t="n">
        <v>18</v>
      </c>
      <c r="U4" s="5" t="n">
        <v>19</v>
      </c>
      <c r="V4" s="5" t="n">
        <v>20</v>
      </c>
      <c r="W4" s="5" t="n">
        <v>21</v>
      </c>
      <c r="X4" s="5" t="n">
        <v>22</v>
      </c>
      <c r="Y4" s="5" t="n">
        <v>23</v>
      </c>
      <c r="Z4" s="5" t="n">
        <v>24</v>
      </c>
      <c r="AA4" s="5" t="n">
        <v>25</v>
      </c>
      <c r="AB4" s="5" t="n">
        <v>26</v>
      </c>
      <c r="AC4" s="5" t="n">
        <v>27</v>
      </c>
      <c r="AD4" s="5" t="n">
        <v>28</v>
      </c>
      <c r="AE4" s="5" t="n">
        <v>29</v>
      </c>
      <c r="AF4" s="5" t="n">
        <v>30</v>
      </c>
      <c r="AG4" s="5" t="n">
        <v>31</v>
      </c>
      <c r="AH4" s="5" t="n">
        <v>32</v>
      </c>
      <c r="AI4" s="5" t="n">
        <v>33</v>
      </c>
      <c r="AJ4" s="5" t="n">
        <v>34</v>
      </c>
      <c r="AK4" s="5" t="n">
        <v>35</v>
      </c>
      <c r="AL4" s="5" t="n">
        <v>36</v>
      </c>
    </row>
    <row r="5" customFormat="false" ht="15" hidden="false" customHeight="false" outlineLevel="0" collapsed="false">
      <c r="A5" s="5" t="s">
        <v>160</v>
      </c>
      <c r="B5" s="16"/>
      <c r="C5" s="30" t="n">
        <f aca="false">EDATE(Допущения!$C$5,0)</f>
        <v>46539</v>
      </c>
      <c r="D5" s="30" t="n">
        <f aca="false">EDATE(Допущения!$C$5,1)</f>
        <v>46569</v>
      </c>
      <c r="E5" s="30" t="n">
        <f aca="false">EDATE(Допущения!$C$5,2)</f>
        <v>46600</v>
      </c>
      <c r="F5" s="30" t="n">
        <f aca="false">EDATE(Допущения!$C$5,3)</f>
        <v>46631</v>
      </c>
      <c r="G5" s="30" t="n">
        <f aca="false">EDATE(Допущения!$C$5,4)</f>
        <v>46661</v>
      </c>
      <c r="H5" s="30" t="n">
        <f aca="false">EDATE(Допущения!$C$5,5)</f>
        <v>46692</v>
      </c>
      <c r="I5" s="30" t="n">
        <f aca="false">EDATE(Допущения!$C$5,6)</f>
        <v>46722</v>
      </c>
      <c r="J5" s="30" t="n">
        <f aca="false">EDATE(Допущения!$C$5,7)</f>
        <v>46753</v>
      </c>
      <c r="K5" s="30" t="n">
        <f aca="false">EDATE(Допущения!$C$5,8)</f>
        <v>46784</v>
      </c>
      <c r="L5" s="30" t="n">
        <f aca="false">EDATE(Допущения!$C$5,9)</f>
        <v>46813</v>
      </c>
      <c r="M5" s="30" t="n">
        <f aca="false">EDATE(Допущения!$C$5,10)</f>
        <v>46844</v>
      </c>
      <c r="N5" s="30" t="n">
        <f aca="false">EDATE(Допущения!$C$5,11)</f>
        <v>46874</v>
      </c>
      <c r="O5" s="30" t="n">
        <f aca="false">EDATE(Допущения!$C$5,12)</f>
        <v>46905</v>
      </c>
      <c r="P5" s="30" t="n">
        <f aca="false">EDATE(Допущения!$C$5,13)</f>
        <v>46935</v>
      </c>
      <c r="Q5" s="30" t="n">
        <f aca="false">EDATE(Допущения!$C$5,14)</f>
        <v>46966</v>
      </c>
      <c r="R5" s="30" t="n">
        <f aca="false">EDATE(Допущения!$C$5,15)</f>
        <v>46997</v>
      </c>
      <c r="S5" s="30" t="n">
        <f aca="false">EDATE(Допущения!$C$5,16)</f>
        <v>47027</v>
      </c>
      <c r="T5" s="30" t="n">
        <f aca="false">EDATE(Допущения!$C$5,17)</f>
        <v>47058</v>
      </c>
      <c r="U5" s="30" t="n">
        <f aca="false">EDATE(Допущения!$C$5,18)</f>
        <v>47088</v>
      </c>
      <c r="V5" s="30" t="n">
        <f aca="false">EDATE(Допущения!$C$5,19)</f>
        <v>47119</v>
      </c>
      <c r="W5" s="30" t="n">
        <f aca="false">EDATE(Допущения!$C$5,20)</f>
        <v>47150</v>
      </c>
      <c r="X5" s="30" t="n">
        <f aca="false">EDATE(Допущения!$C$5,21)</f>
        <v>47178</v>
      </c>
      <c r="Y5" s="30" t="n">
        <f aca="false">EDATE(Допущения!$C$5,22)</f>
        <v>47209</v>
      </c>
      <c r="Z5" s="30" t="n">
        <f aca="false">EDATE(Допущения!$C$5,23)</f>
        <v>47239</v>
      </c>
      <c r="AA5" s="30" t="n">
        <f aca="false">EDATE(Допущения!$C$5,24)</f>
        <v>47270</v>
      </c>
      <c r="AB5" s="30" t="n">
        <f aca="false">EDATE(Допущения!$C$5,25)</f>
        <v>47300</v>
      </c>
      <c r="AC5" s="30" t="n">
        <f aca="false">EDATE(Допущения!$C$5,26)</f>
        <v>47331</v>
      </c>
      <c r="AD5" s="30" t="n">
        <f aca="false">EDATE(Допущения!$C$5,27)</f>
        <v>47362</v>
      </c>
      <c r="AE5" s="30" t="n">
        <f aca="false">EDATE(Допущения!$C$5,28)</f>
        <v>47392</v>
      </c>
      <c r="AF5" s="30" t="n">
        <f aca="false">EDATE(Допущения!$C$5,29)</f>
        <v>47423</v>
      </c>
      <c r="AG5" s="30" t="n">
        <f aca="false">EDATE(Допущения!$C$5,30)</f>
        <v>47453</v>
      </c>
      <c r="AH5" s="30" t="n">
        <f aca="false">EDATE(Допущения!$C$5,31)</f>
        <v>47484</v>
      </c>
      <c r="AI5" s="30" t="n">
        <f aca="false">EDATE(Допущения!$C$5,32)</f>
        <v>47515</v>
      </c>
      <c r="AJ5" s="30" t="n">
        <f aca="false">EDATE(Допущения!$C$5,33)</f>
        <v>47543</v>
      </c>
      <c r="AK5" s="30" t="n">
        <f aca="false">EDATE(Допущения!$C$5,34)</f>
        <v>47574</v>
      </c>
      <c r="AL5" s="30" t="n">
        <f aca="false">EDATE(Допущения!$C$5,35)</f>
        <v>47604</v>
      </c>
    </row>
    <row r="6" customFormat="false" ht="15" hidden="false" customHeight="false" outlineLevel="0" collapsed="false">
      <c r="A6" s="5" t="s">
        <v>161</v>
      </c>
      <c r="B6" s="16"/>
      <c r="C6" s="31" t="n">
        <f aca="false">INT((C4-1)/12)+1</f>
        <v>1</v>
      </c>
      <c r="D6" s="31" t="n">
        <f aca="false">INT((D4-1)/12)+1</f>
        <v>1</v>
      </c>
      <c r="E6" s="31" t="n">
        <f aca="false">INT((E4-1)/12)+1</f>
        <v>1</v>
      </c>
      <c r="F6" s="31" t="n">
        <f aca="false">INT((F4-1)/12)+1</f>
        <v>1</v>
      </c>
      <c r="G6" s="31" t="n">
        <f aca="false">INT((G4-1)/12)+1</f>
        <v>1</v>
      </c>
      <c r="H6" s="31" t="n">
        <f aca="false">INT((H4-1)/12)+1</f>
        <v>1</v>
      </c>
      <c r="I6" s="31" t="n">
        <f aca="false">INT((I4-1)/12)+1</f>
        <v>1</v>
      </c>
      <c r="J6" s="31" t="n">
        <f aca="false">INT((J4-1)/12)+1</f>
        <v>1</v>
      </c>
      <c r="K6" s="31" t="n">
        <f aca="false">INT((K4-1)/12)+1</f>
        <v>1</v>
      </c>
      <c r="L6" s="31" t="n">
        <f aca="false">INT((L4-1)/12)+1</f>
        <v>1</v>
      </c>
      <c r="M6" s="31" t="n">
        <f aca="false">INT((M4-1)/12)+1</f>
        <v>1</v>
      </c>
      <c r="N6" s="31" t="n">
        <f aca="false">INT((N4-1)/12)+1</f>
        <v>1</v>
      </c>
      <c r="O6" s="31" t="n">
        <f aca="false">INT((O4-1)/12)+1</f>
        <v>2</v>
      </c>
      <c r="P6" s="31" t="n">
        <f aca="false">INT((P4-1)/12)+1</f>
        <v>2</v>
      </c>
      <c r="Q6" s="31" t="n">
        <f aca="false">INT((Q4-1)/12)+1</f>
        <v>2</v>
      </c>
      <c r="R6" s="31" t="n">
        <f aca="false">INT((R4-1)/12)+1</f>
        <v>2</v>
      </c>
      <c r="S6" s="31" t="n">
        <f aca="false">INT((S4-1)/12)+1</f>
        <v>2</v>
      </c>
      <c r="T6" s="31" t="n">
        <f aca="false">INT((T4-1)/12)+1</f>
        <v>2</v>
      </c>
      <c r="U6" s="31" t="n">
        <f aca="false">INT((U4-1)/12)+1</f>
        <v>2</v>
      </c>
      <c r="V6" s="31" t="n">
        <f aca="false">INT((V4-1)/12)+1</f>
        <v>2</v>
      </c>
      <c r="W6" s="31" t="n">
        <f aca="false">INT((W4-1)/12)+1</f>
        <v>2</v>
      </c>
      <c r="X6" s="31" t="n">
        <f aca="false">INT((X4-1)/12)+1</f>
        <v>2</v>
      </c>
      <c r="Y6" s="31" t="n">
        <f aca="false">INT((Y4-1)/12)+1</f>
        <v>2</v>
      </c>
      <c r="Z6" s="31" t="n">
        <f aca="false">INT((Z4-1)/12)+1</f>
        <v>2</v>
      </c>
      <c r="AA6" s="31" t="n">
        <f aca="false">INT((AA4-1)/12)+1</f>
        <v>3</v>
      </c>
      <c r="AB6" s="31" t="n">
        <f aca="false">INT((AB4-1)/12)+1</f>
        <v>3</v>
      </c>
      <c r="AC6" s="31" t="n">
        <f aca="false">INT((AC4-1)/12)+1</f>
        <v>3</v>
      </c>
      <c r="AD6" s="31" t="n">
        <f aca="false">INT((AD4-1)/12)+1</f>
        <v>3</v>
      </c>
      <c r="AE6" s="31" t="n">
        <f aca="false">INT((AE4-1)/12)+1</f>
        <v>3</v>
      </c>
      <c r="AF6" s="31" t="n">
        <f aca="false">INT((AF4-1)/12)+1</f>
        <v>3</v>
      </c>
      <c r="AG6" s="31" t="n">
        <f aca="false">INT((AG4-1)/12)+1</f>
        <v>3</v>
      </c>
      <c r="AH6" s="31" t="n">
        <f aca="false">INT((AH4-1)/12)+1</f>
        <v>3</v>
      </c>
      <c r="AI6" s="31" t="n">
        <f aca="false">INT((AI4-1)/12)+1</f>
        <v>3</v>
      </c>
      <c r="AJ6" s="31" t="n">
        <f aca="false">INT((AJ4-1)/12)+1</f>
        <v>3</v>
      </c>
      <c r="AK6" s="31" t="n">
        <f aca="false">INT((AK4-1)/12)+1</f>
        <v>3</v>
      </c>
      <c r="AL6" s="31" t="n">
        <f aca="false">INT((AL4-1)/12)+1</f>
        <v>3</v>
      </c>
    </row>
    <row r="7" customFormat="false" ht="15" hidden="false" customHeight="false" outlineLevel="0" collapsed="false">
      <c r="A7" s="5" t="s">
        <v>162</v>
      </c>
      <c r="B7" s="16"/>
      <c r="C7" s="32" t="n">
        <f aca="false">INDEX(Допущения!$C$34:$N$34,MONTH(C5))</f>
        <v>0.8</v>
      </c>
      <c r="D7" s="32" t="n">
        <f aca="false">INDEX(Допущения!$C$34:$N$34,MONTH(D5))</f>
        <v>0.6</v>
      </c>
      <c r="E7" s="32" t="n">
        <f aca="false">INDEX(Допущения!$C$34:$N$34,MONTH(E5))</f>
        <v>0.6</v>
      </c>
      <c r="F7" s="32" t="n">
        <f aca="false">INDEX(Допущения!$C$34:$N$34,MONTH(F5))</f>
        <v>1</v>
      </c>
      <c r="G7" s="32" t="n">
        <f aca="false">INDEX(Допущения!$C$34:$N$34,MONTH(G5))</f>
        <v>1.1</v>
      </c>
      <c r="H7" s="32" t="n">
        <f aca="false">INDEX(Допущения!$C$34:$N$34,MONTH(H5))</f>
        <v>1.2</v>
      </c>
      <c r="I7" s="32" t="n">
        <f aca="false">INDEX(Допущения!$C$34:$N$34,MONTH(I5))</f>
        <v>1.3</v>
      </c>
      <c r="J7" s="32" t="n">
        <f aca="false">INDEX(Допущения!$C$34:$N$34,MONTH(J5))</f>
        <v>0.8</v>
      </c>
      <c r="K7" s="32" t="n">
        <f aca="false">INDEX(Допущения!$C$34:$N$34,MONTH(K5))</f>
        <v>0.9</v>
      </c>
      <c r="L7" s="32" t="n">
        <f aca="false">INDEX(Допущения!$C$34:$N$34,MONTH(L5))</f>
        <v>1</v>
      </c>
      <c r="M7" s="32" t="n">
        <f aca="false">INDEX(Допущения!$C$34:$N$34,MONTH(M5))</f>
        <v>1</v>
      </c>
      <c r="N7" s="32" t="n">
        <f aca="false">INDEX(Допущения!$C$34:$N$34,MONTH(N5))</f>
        <v>1</v>
      </c>
      <c r="O7" s="32" t="n">
        <f aca="false">INDEX(Допущения!$C$34:$N$34,MONTH(O5))</f>
        <v>0.8</v>
      </c>
      <c r="P7" s="32" t="n">
        <f aca="false">INDEX(Допущения!$C$34:$N$34,MONTH(P5))</f>
        <v>0.6</v>
      </c>
      <c r="Q7" s="32" t="n">
        <f aca="false">INDEX(Допущения!$C$34:$N$34,MONTH(Q5))</f>
        <v>0.6</v>
      </c>
      <c r="R7" s="32" t="n">
        <f aca="false">INDEX(Допущения!$C$34:$N$34,MONTH(R5))</f>
        <v>1</v>
      </c>
      <c r="S7" s="32" t="n">
        <f aca="false">INDEX(Допущения!$C$34:$N$34,MONTH(S5))</f>
        <v>1.1</v>
      </c>
      <c r="T7" s="32" t="n">
        <f aca="false">INDEX(Допущения!$C$34:$N$34,MONTH(T5))</f>
        <v>1.2</v>
      </c>
      <c r="U7" s="32" t="n">
        <f aca="false">INDEX(Допущения!$C$34:$N$34,MONTH(U5))</f>
        <v>1.3</v>
      </c>
      <c r="V7" s="32" t="n">
        <f aca="false">INDEX(Допущения!$C$34:$N$34,MONTH(V5))</f>
        <v>0.8</v>
      </c>
      <c r="W7" s="32" t="n">
        <f aca="false">INDEX(Допущения!$C$34:$N$34,MONTH(W5))</f>
        <v>0.9</v>
      </c>
      <c r="X7" s="32" t="n">
        <f aca="false">INDEX(Допущения!$C$34:$N$34,MONTH(X5))</f>
        <v>1</v>
      </c>
      <c r="Y7" s="32" t="n">
        <f aca="false">INDEX(Допущения!$C$34:$N$34,MONTH(Y5))</f>
        <v>1</v>
      </c>
      <c r="Z7" s="32" t="n">
        <f aca="false">INDEX(Допущения!$C$34:$N$34,MONTH(Z5))</f>
        <v>1</v>
      </c>
      <c r="AA7" s="32" t="n">
        <f aca="false">INDEX(Допущения!$C$34:$N$34,MONTH(AA5))</f>
        <v>0.8</v>
      </c>
      <c r="AB7" s="32" t="n">
        <f aca="false">INDEX(Допущения!$C$34:$N$34,MONTH(AB5))</f>
        <v>0.6</v>
      </c>
      <c r="AC7" s="32" t="n">
        <f aca="false">INDEX(Допущения!$C$34:$N$34,MONTH(AC5))</f>
        <v>0.6</v>
      </c>
      <c r="AD7" s="32" t="n">
        <f aca="false">INDEX(Допущения!$C$34:$N$34,MONTH(AD5))</f>
        <v>1</v>
      </c>
      <c r="AE7" s="32" t="n">
        <f aca="false">INDEX(Допущения!$C$34:$N$34,MONTH(AE5))</f>
        <v>1.1</v>
      </c>
      <c r="AF7" s="32" t="n">
        <f aca="false">INDEX(Допущения!$C$34:$N$34,MONTH(AF5))</f>
        <v>1.2</v>
      </c>
      <c r="AG7" s="32" t="n">
        <f aca="false">INDEX(Допущения!$C$34:$N$34,MONTH(AG5))</f>
        <v>1.3</v>
      </c>
      <c r="AH7" s="32" t="n">
        <f aca="false">INDEX(Допущения!$C$34:$N$34,MONTH(AH5))</f>
        <v>0.8</v>
      </c>
      <c r="AI7" s="32" t="n">
        <f aca="false">INDEX(Допущения!$C$34:$N$34,MONTH(AI5))</f>
        <v>0.9</v>
      </c>
      <c r="AJ7" s="32" t="n">
        <f aca="false">INDEX(Допущения!$C$34:$N$34,MONTH(AJ5))</f>
        <v>1</v>
      </c>
      <c r="AK7" s="32" t="n">
        <f aca="false">INDEX(Допущения!$C$34:$N$34,MONTH(AK5))</f>
        <v>1</v>
      </c>
      <c r="AL7" s="32" t="n">
        <f aca="false">INDEX(Допущения!$C$34:$N$34,MONTH(AL5))</f>
        <v>1</v>
      </c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customFormat="false" ht="15" hidden="false" customHeight="false" outlineLevel="0" collapsed="false">
      <c r="A9" s="4" t="s">
        <v>163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customFormat="false" ht="15" hidden="false" customHeight="false" outlineLevel="0" collapsed="false">
      <c r="A10" s="6" t="s">
        <v>164</v>
      </c>
      <c r="B10" s="3" t="s">
        <v>82</v>
      </c>
      <c r="C10" s="17" t="n">
        <f aca="false">CHOOSE(C$6,Допущения!$C$24,Допущения!$C$25,Допущения!$C$26)</f>
        <v>1.5</v>
      </c>
      <c r="D10" s="17" t="n">
        <f aca="false">CHOOSE(D$6,Допущения!$C$24,Допущения!$C$25,Допущения!$C$26)</f>
        <v>1.5</v>
      </c>
      <c r="E10" s="17" t="n">
        <f aca="false">CHOOSE(E$6,Допущения!$C$24,Допущения!$C$25,Допущения!$C$26)</f>
        <v>1.5</v>
      </c>
      <c r="F10" s="17" t="n">
        <f aca="false">CHOOSE(F$6,Допущения!$C$24,Допущения!$C$25,Допущения!$C$26)</f>
        <v>1.5</v>
      </c>
      <c r="G10" s="17" t="n">
        <f aca="false">CHOOSE(G$6,Допущения!$C$24,Допущения!$C$25,Допущения!$C$26)</f>
        <v>1.5</v>
      </c>
      <c r="H10" s="17" t="n">
        <f aca="false">CHOOSE(H$6,Допущения!$C$24,Допущения!$C$25,Допущения!$C$26)</f>
        <v>1.5</v>
      </c>
      <c r="I10" s="17" t="n">
        <f aca="false">CHOOSE(I$6,Допущения!$C$24,Допущения!$C$25,Допущения!$C$26)</f>
        <v>1.5</v>
      </c>
      <c r="J10" s="17" t="n">
        <f aca="false">CHOOSE(J$6,Допущения!$C$24,Допущения!$C$25,Допущения!$C$26)</f>
        <v>1.5</v>
      </c>
      <c r="K10" s="17" t="n">
        <f aca="false">CHOOSE(K$6,Допущения!$C$24,Допущения!$C$25,Допущения!$C$26)</f>
        <v>1.5</v>
      </c>
      <c r="L10" s="17" t="n">
        <f aca="false">CHOOSE(L$6,Допущения!$C$24,Допущения!$C$25,Допущения!$C$26)</f>
        <v>1.5</v>
      </c>
      <c r="M10" s="17" t="n">
        <f aca="false">CHOOSE(M$6,Допущения!$C$24,Допущения!$C$25,Допущения!$C$26)</f>
        <v>1.5</v>
      </c>
      <c r="N10" s="17" t="n">
        <f aca="false">CHOOSE(N$6,Допущения!$C$24,Допущения!$C$25,Допущения!$C$26)</f>
        <v>1.5</v>
      </c>
      <c r="O10" s="17" t="n">
        <f aca="false">CHOOSE(O$6,Допущения!$C$24,Допущения!$C$25,Допущения!$C$26)</f>
        <v>3</v>
      </c>
      <c r="P10" s="17" t="n">
        <f aca="false">CHOOSE(P$6,Допущения!$C$24,Допущения!$C$25,Допущения!$C$26)</f>
        <v>3</v>
      </c>
      <c r="Q10" s="17" t="n">
        <f aca="false">CHOOSE(Q$6,Допущения!$C$24,Допущения!$C$25,Допущения!$C$26)</f>
        <v>3</v>
      </c>
      <c r="R10" s="17" t="n">
        <f aca="false">CHOOSE(R$6,Допущения!$C$24,Допущения!$C$25,Допущения!$C$26)</f>
        <v>3</v>
      </c>
      <c r="S10" s="17" t="n">
        <f aca="false">CHOOSE(S$6,Допущения!$C$24,Допущения!$C$25,Допущения!$C$26)</f>
        <v>3</v>
      </c>
      <c r="T10" s="17" t="n">
        <f aca="false">CHOOSE(T$6,Допущения!$C$24,Допущения!$C$25,Допущения!$C$26)</f>
        <v>3</v>
      </c>
      <c r="U10" s="17" t="n">
        <f aca="false">CHOOSE(U$6,Допущения!$C$24,Допущения!$C$25,Допущения!$C$26)</f>
        <v>3</v>
      </c>
      <c r="V10" s="17" t="n">
        <f aca="false">CHOOSE(V$6,Допущения!$C$24,Допущения!$C$25,Допущения!$C$26)</f>
        <v>3</v>
      </c>
      <c r="W10" s="17" t="n">
        <f aca="false">CHOOSE(W$6,Допущения!$C$24,Допущения!$C$25,Допущения!$C$26)</f>
        <v>3</v>
      </c>
      <c r="X10" s="17" t="n">
        <f aca="false">CHOOSE(X$6,Допущения!$C$24,Допущения!$C$25,Допущения!$C$26)</f>
        <v>3</v>
      </c>
      <c r="Y10" s="17" t="n">
        <f aca="false">CHOOSE(Y$6,Допущения!$C$24,Допущения!$C$25,Допущения!$C$26)</f>
        <v>3</v>
      </c>
      <c r="Z10" s="17" t="n">
        <f aca="false">CHOOSE(Z$6,Допущения!$C$24,Допущения!$C$25,Допущения!$C$26)</f>
        <v>3</v>
      </c>
      <c r="AA10" s="17" t="n">
        <f aca="false">CHOOSE(AA$6,Допущения!$C$24,Допущения!$C$25,Допущения!$C$26)</f>
        <v>4</v>
      </c>
      <c r="AB10" s="17" t="n">
        <f aca="false">CHOOSE(AB$6,Допущения!$C$24,Допущения!$C$25,Допущения!$C$26)</f>
        <v>4</v>
      </c>
      <c r="AC10" s="17" t="n">
        <f aca="false">CHOOSE(AC$6,Допущения!$C$24,Допущения!$C$25,Допущения!$C$26)</f>
        <v>4</v>
      </c>
      <c r="AD10" s="17" t="n">
        <f aca="false">CHOOSE(AD$6,Допущения!$C$24,Допущения!$C$25,Допущения!$C$26)</f>
        <v>4</v>
      </c>
      <c r="AE10" s="17" t="n">
        <f aca="false">CHOOSE(AE$6,Допущения!$C$24,Допущения!$C$25,Допущения!$C$26)</f>
        <v>4</v>
      </c>
      <c r="AF10" s="17" t="n">
        <f aca="false">CHOOSE(AF$6,Допущения!$C$24,Допущения!$C$25,Допущения!$C$26)</f>
        <v>4</v>
      </c>
      <c r="AG10" s="17" t="n">
        <f aca="false">CHOOSE(AG$6,Допущения!$C$24,Допущения!$C$25,Допущения!$C$26)</f>
        <v>4</v>
      </c>
      <c r="AH10" s="17" t="n">
        <f aca="false">CHOOSE(AH$6,Допущения!$C$24,Допущения!$C$25,Допущения!$C$26)</f>
        <v>4</v>
      </c>
      <c r="AI10" s="17" t="n">
        <f aca="false">CHOOSE(AI$6,Допущения!$C$24,Допущения!$C$25,Допущения!$C$26)</f>
        <v>4</v>
      </c>
      <c r="AJ10" s="17" t="n">
        <f aca="false">CHOOSE(AJ$6,Допущения!$C$24,Допущения!$C$25,Допущения!$C$26)</f>
        <v>4</v>
      </c>
      <c r="AK10" s="17" t="n">
        <f aca="false">CHOOSE(AK$6,Допущения!$C$24,Допущения!$C$25,Допущения!$C$26)</f>
        <v>4</v>
      </c>
      <c r="AL10" s="17" t="n">
        <f aca="false">CHOOSE(AL$6,Допущения!$C$24,Допущения!$C$25,Допущения!$C$26)</f>
        <v>4</v>
      </c>
    </row>
    <row r="11" customFormat="false" ht="15" hidden="false" customHeight="false" outlineLevel="0" collapsed="false">
      <c r="A11" s="6" t="s">
        <v>165</v>
      </c>
      <c r="B11" s="3" t="s">
        <v>82</v>
      </c>
      <c r="C11" s="17" t="n">
        <f aca="false">0</f>
        <v>0</v>
      </c>
      <c r="D11" s="17" t="n">
        <f aca="false">C12*Допущения!$C$27</f>
        <v>0.09</v>
      </c>
      <c r="E11" s="17" t="n">
        <f aca="false">D12*Допущения!$C$27</f>
        <v>0.1746</v>
      </c>
      <c r="F11" s="17" t="n">
        <f aca="false">E12*Допущения!$C$27</f>
        <v>0.254124</v>
      </c>
      <c r="G11" s="17" t="n">
        <f aca="false">F12*Допущения!$C$27</f>
        <v>0.32887656</v>
      </c>
      <c r="H11" s="17" t="n">
        <f aca="false">G12*Допущения!$C$27</f>
        <v>0.3991439664</v>
      </c>
      <c r="I11" s="17" t="n">
        <f aca="false">H12*Допущения!$C$27</f>
        <v>0.465195328416</v>
      </c>
      <c r="J11" s="17" t="n">
        <f aca="false">I12*Допущения!$C$27</f>
        <v>0.52728360871104</v>
      </c>
      <c r="K11" s="17" t="n">
        <f aca="false">J12*Допущения!$C$27</f>
        <v>0.585646592188378</v>
      </c>
      <c r="L11" s="17" t="n">
        <f aca="false">K12*Допущения!$C$27</f>
        <v>0.640507796657075</v>
      </c>
      <c r="M11" s="17" t="n">
        <f aca="false">L12*Допущения!$C$27</f>
        <v>0.692077328857651</v>
      </c>
      <c r="N11" s="17" t="n">
        <f aca="false">M12*Допущения!$C$27</f>
        <v>0.740552689126192</v>
      </c>
      <c r="O11" s="17" t="n">
        <f aca="false">N12*Допущения!$C$27</f>
        <v>0.78611952777862</v>
      </c>
      <c r="P11" s="17" t="n">
        <f aca="false">O12*Допущения!$C$27</f>
        <v>0.918952356111903</v>
      </c>
      <c r="Q11" s="17" t="n">
        <f aca="false">P12*Допущения!$C$27</f>
        <v>1.04381521474519</v>
      </c>
      <c r="R11" s="17" t="n">
        <f aca="false">Q12*Допущения!$C$27</f>
        <v>1.16118630186048</v>
      </c>
      <c r="S11" s="17" t="n">
        <f aca="false">R12*Допущения!$C$27</f>
        <v>1.27151512374885</v>
      </c>
      <c r="T11" s="17" t="n">
        <f aca="false">S12*Допущения!$C$27</f>
        <v>1.37522421632392</v>
      </c>
      <c r="U11" s="17" t="n">
        <f aca="false">T12*Допущения!$C$27</f>
        <v>1.47271076334448</v>
      </c>
      <c r="V11" s="17" t="n">
        <f aca="false">U12*Допущения!$C$27</f>
        <v>1.56434811754381</v>
      </c>
      <c r="W11" s="17" t="n">
        <f aca="false">V12*Допущения!$C$27</f>
        <v>1.65048723049118</v>
      </c>
      <c r="X11" s="17" t="n">
        <f aca="false">W12*Допущения!$C$27</f>
        <v>1.73145799666171</v>
      </c>
      <c r="Y11" s="17" t="n">
        <f aca="false">X12*Допущения!$C$27</f>
        <v>1.80757051686201</v>
      </c>
      <c r="Z11" s="17" t="n">
        <f aca="false">Y12*Допущения!$C$27</f>
        <v>1.87911628585029</v>
      </c>
      <c r="AA11" s="17" t="n">
        <f aca="false">Z12*Допущения!$C$27</f>
        <v>1.94636930869927</v>
      </c>
      <c r="AB11" s="17" t="n">
        <f aca="false">AA12*Допущения!$C$27</f>
        <v>2.06958715017732</v>
      </c>
      <c r="AC11" s="17" t="n">
        <f aca="false">AB12*Допущения!$C$27</f>
        <v>2.18541192116668</v>
      </c>
      <c r="AD11" s="17" t="n">
        <f aca="false">AC12*Допущения!$C$27</f>
        <v>2.29428720589668</v>
      </c>
      <c r="AE11" s="17" t="n">
        <f aca="false">AD12*Допущения!$C$27</f>
        <v>2.39662997354288</v>
      </c>
      <c r="AF11" s="17" t="n">
        <f aca="false">AE12*Допущения!$C$27</f>
        <v>2.4928321751303</v>
      </c>
      <c r="AG11" s="17" t="n">
        <f aca="false">AF12*Допущения!$C$27</f>
        <v>2.58326224462249</v>
      </c>
      <c r="AH11" s="17" t="n">
        <f aca="false">AG12*Допущения!$C$27</f>
        <v>2.66826650994514</v>
      </c>
      <c r="AI11" s="17" t="n">
        <f aca="false">AH12*Допущения!$C$27</f>
        <v>2.74817051934843</v>
      </c>
      <c r="AJ11" s="17" t="n">
        <f aca="false">AI12*Допущения!$C$27</f>
        <v>2.82328028818752</v>
      </c>
      <c r="AK11" s="17" t="n">
        <f aca="false">AJ12*Допущения!$C$27</f>
        <v>2.89388347089627</v>
      </c>
      <c r="AL11" s="17" t="n">
        <f aca="false">AK12*Допущения!$C$27</f>
        <v>2.9602504626425</v>
      </c>
    </row>
    <row r="12" customFormat="false" ht="15" hidden="false" customHeight="false" outlineLevel="0" collapsed="false">
      <c r="A12" s="6" t="s">
        <v>166</v>
      </c>
      <c r="B12" s="3" t="s">
        <v>82</v>
      </c>
      <c r="C12" s="17" t="n">
        <f aca="false">C10</f>
        <v>1.5</v>
      </c>
      <c r="D12" s="17" t="n">
        <f aca="false">C12+D10-D11</f>
        <v>2.91</v>
      </c>
      <c r="E12" s="17" t="n">
        <f aca="false">D12+E10-E11</f>
        <v>4.2354</v>
      </c>
      <c r="F12" s="17" t="n">
        <f aca="false">E12+F10-F11</f>
        <v>5.481276</v>
      </c>
      <c r="G12" s="17" t="n">
        <f aca="false">F12+G10-G11</f>
        <v>6.65239944</v>
      </c>
      <c r="H12" s="17" t="n">
        <f aca="false">G12+H10-H11</f>
        <v>7.7532554736</v>
      </c>
      <c r="I12" s="17" t="n">
        <f aca="false">H12+I10-I11</f>
        <v>8.788060145184</v>
      </c>
      <c r="J12" s="17" t="n">
        <f aca="false">I12+J10-J11</f>
        <v>9.76077653647296</v>
      </c>
      <c r="K12" s="17" t="n">
        <f aca="false">J12+K10-K11</f>
        <v>10.6751299442846</v>
      </c>
      <c r="L12" s="17" t="n">
        <f aca="false">K12+L10-L11</f>
        <v>11.5346221476275</v>
      </c>
      <c r="M12" s="17" t="n">
        <f aca="false">L12+M10-M11</f>
        <v>12.3425448187699</v>
      </c>
      <c r="N12" s="17" t="n">
        <f aca="false">M12+N10-N11</f>
        <v>13.1019921296437</v>
      </c>
      <c r="O12" s="17" t="n">
        <f aca="false">N12+O10-O11</f>
        <v>15.315872601865</v>
      </c>
      <c r="P12" s="17" t="n">
        <f aca="false">O12+P10-P11</f>
        <v>17.3969202457531</v>
      </c>
      <c r="Q12" s="17" t="n">
        <f aca="false">P12+Q10-Q11</f>
        <v>19.353105031008</v>
      </c>
      <c r="R12" s="17" t="n">
        <f aca="false">Q12+R10-R11</f>
        <v>21.1919187291475</v>
      </c>
      <c r="S12" s="17" t="n">
        <f aca="false">R12+S10-S11</f>
        <v>22.9204036053986</v>
      </c>
      <c r="T12" s="17" t="n">
        <f aca="false">S12+T10-T11</f>
        <v>24.5451793890747</v>
      </c>
      <c r="U12" s="17" t="n">
        <f aca="false">T12+U10-U11</f>
        <v>26.0724686257302</v>
      </c>
      <c r="V12" s="17" t="n">
        <f aca="false">U12+V10-V11</f>
        <v>27.5081205081864</v>
      </c>
      <c r="W12" s="17" t="n">
        <f aca="false">V12+W10-W11</f>
        <v>28.8576332776952</v>
      </c>
      <c r="X12" s="17" t="n">
        <f aca="false">W12+X10-X11</f>
        <v>30.1261752810335</v>
      </c>
      <c r="Y12" s="17" t="n">
        <f aca="false">X12+Y10-Y11</f>
        <v>31.3186047641715</v>
      </c>
      <c r="Z12" s="17" t="n">
        <f aca="false">Y12+Z10-Z11</f>
        <v>32.4394884783212</v>
      </c>
      <c r="AA12" s="17" t="n">
        <f aca="false">Z12+AA10-AA11</f>
        <v>34.493119169622</v>
      </c>
      <c r="AB12" s="17" t="n">
        <f aca="false">AA12+AB10-AB11</f>
        <v>36.4235320194446</v>
      </c>
      <c r="AC12" s="17" t="n">
        <f aca="false">AB12+AC10-AC11</f>
        <v>38.238120098278</v>
      </c>
      <c r="AD12" s="17" t="n">
        <f aca="false">AC12+AD10-AD11</f>
        <v>39.9438328923813</v>
      </c>
      <c r="AE12" s="17" t="n">
        <f aca="false">AD12+AE10-AE11</f>
        <v>41.5472029188384</v>
      </c>
      <c r="AF12" s="17" t="n">
        <f aca="false">AE12+AF10-AF11</f>
        <v>43.0543707437081</v>
      </c>
      <c r="AG12" s="17" t="n">
        <f aca="false">AF12+AG10-AG11</f>
        <v>44.4711084990856</v>
      </c>
      <c r="AH12" s="17" t="n">
        <f aca="false">AG12+AH10-AH11</f>
        <v>45.8028419891405</v>
      </c>
      <c r="AI12" s="17" t="n">
        <f aca="false">AH12+AI10-AI11</f>
        <v>47.054671469792</v>
      </c>
      <c r="AJ12" s="17" t="n">
        <f aca="false">AI12+AJ10-AJ11</f>
        <v>48.2313911816045</v>
      </c>
      <c r="AK12" s="17" t="n">
        <f aca="false">AJ12+AK10-AK11</f>
        <v>49.3375077107083</v>
      </c>
      <c r="AL12" s="17" t="n">
        <f aca="false">AK12+AL10-AL11</f>
        <v>50.3772572480658</v>
      </c>
    </row>
    <row r="13" customFormat="false" ht="15" hidden="false" customHeight="false" outlineLevel="0" collapsed="false">
      <c r="A13" s="6" t="s">
        <v>167</v>
      </c>
      <c r="B13" s="3" t="s">
        <v>82</v>
      </c>
      <c r="C13" s="17" t="n">
        <f aca="false">C12*Допущения!$C$28*C$7</f>
        <v>1.2</v>
      </c>
      <c r="D13" s="17" t="n">
        <f aca="false">D12*Допущения!$C$28*D$7</f>
        <v>1.746</v>
      </c>
      <c r="E13" s="17" t="n">
        <f aca="false">E12*Допущения!$C$28*E$7</f>
        <v>2.54124</v>
      </c>
      <c r="F13" s="17" t="n">
        <f aca="false">F12*Допущения!$C$28*F$7</f>
        <v>5.481276</v>
      </c>
      <c r="G13" s="17" t="n">
        <f aca="false">G12*Допущения!$C$28*G$7</f>
        <v>7.317639384</v>
      </c>
      <c r="H13" s="17" t="n">
        <f aca="false">H12*Допущения!$C$28*H$7</f>
        <v>9.30390656832</v>
      </c>
      <c r="I13" s="17" t="n">
        <f aca="false">I12*Допущения!$C$28*I$7</f>
        <v>11.4244781887392</v>
      </c>
      <c r="J13" s="17" t="n">
        <f aca="false">J12*Допущения!$C$28*J$7</f>
        <v>7.80862122917837</v>
      </c>
      <c r="K13" s="17" t="n">
        <f aca="false">K12*Допущения!$C$28*K$7</f>
        <v>9.60761694985613</v>
      </c>
      <c r="L13" s="17" t="n">
        <f aca="false">L12*Допущения!$C$28*L$7</f>
        <v>11.5346221476275</v>
      </c>
      <c r="M13" s="17" t="n">
        <f aca="false">M12*Допущения!$C$28*M$7</f>
        <v>12.3425448187699</v>
      </c>
      <c r="N13" s="17" t="n">
        <f aca="false">N12*Допущения!$C$28*N$7</f>
        <v>13.1019921296437</v>
      </c>
      <c r="O13" s="17" t="n">
        <f aca="false">O12*Допущения!$C$28*O$7</f>
        <v>12.252698081492</v>
      </c>
      <c r="P13" s="17" t="n">
        <f aca="false">P12*Допущения!$C$28*P$7</f>
        <v>10.4381521474519</v>
      </c>
      <c r="Q13" s="17" t="n">
        <f aca="false">Q12*Допущения!$C$28*Q$7</f>
        <v>11.6118630186048</v>
      </c>
      <c r="R13" s="17" t="n">
        <f aca="false">R12*Допущения!$C$28*R$7</f>
        <v>21.1919187291475</v>
      </c>
      <c r="S13" s="17" t="n">
        <f aca="false">S12*Допущения!$C$28*S$7</f>
        <v>25.2124439659385</v>
      </c>
      <c r="T13" s="17" t="n">
        <f aca="false">T12*Допущения!$C$28*T$7</f>
        <v>29.4542152668897</v>
      </c>
      <c r="U13" s="17" t="n">
        <f aca="false">U12*Допущения!$C$28*U$7</f>
        <v>33.8942092134493</v>
      </c>
      <c r="V13" s="17" t="n">
        <f aca="false">V12*Допущения!$C$28*V$7</f>
        <v>22.0064964065491</v>
      </c>
      <c r="W13" s="17" t="n">
        <f aca="false">W12*Допущения!$C$28*W$7</f>
        <v>25.9718699499257</v>
      </c>
      <c r="X13" s="17" t="n">
        <f aca="false">X12*Допущения!$C$28*X$7</f>
        <v>30.1261752810335</v>
      </c>
      <c r="Y13" s="17" t="n">
        <f aca="false">Y12*Допущения!$C$28*Y$7</f>
        <v>31.3186047641715</v>
      </c>
      <c r="Z13" s="17" t="n">
        <f aca="false">Z12*Допущения!$C$28*Z$7</f>
        <v>32.4394884783212</v>
      </c>
      <c r="AA13" s="17" t="n">
        <f aca="false">AA12*Допущения!$C$28*AA$7</f>
        <v>27.5944953356976</v>
      </c>
      <c r="AB13" s="17" t="n">
        <f aca="false">AB12*Допущения!$C$28*AB$7</f>
        <v>21.8541192116668</v>
      </c>
      <c r="AC13" s="17" t="n">
        <f aca="false">AC12*Допущения!$C$28*AC$7</f>
        <v>22.9428720589668</v>
      </c>
      <c r="AD13" s="17" t="n">
        <f aca="false">AD12*Допущения!$C$28*AD$7</f>
        <v>39.9438328923813</v>
      </c>
      <c r="AE13" s="17" t="n">
        <f aca="false">AE12*Допущения!$C$28*AE$7</f>
        <v>45.7019232107222</v>
      </c>
      <c r="AF13" s="17" t="n">
        <f aca="false">AF12*Допущения!$C$28*AF$7</f>
        <v>51.6652448924497</v>
      </c>
      <c r="AG13" s="17" t="n">
        <f aca="false">AG12*Допущения!$C$28*AG$7</f>
        <v>57.8124410488113</v>
      </c>
      <c r="AH13" s="17" t="n">
        <f aca="false">AH12*Допущения!$C$28*AH$7</f>
        <v>36.6422735913124</v>
      </c>
      <c r="AI13" s="17" t="n">
        <f aca="false">AI12*Допущения!$C$28*AI$7</f>
        <v>42.3492043228128</v>
      </c>
      <c r="AJ13" s="17" t="n">
        <f aca="false">AJ12*Допущения!$C$28*AJ$7</f>
        <v>48.2313911816045</v>
      </c>
      <c r="AK13" s="17" t="n">
        <f aca="false">AK12*Допущения!$C$28*AK$7</f>
        <v>49.3375077107083</v>
      </c>
      <c r="AL13" s="17" t="n">
        <f aca="false">AL12*Допущения!$C$28*AL$7</f>
        <v>50.3772572480658</v>
      </c>
    </row>
    <row r="14" customFormat="false" ht="15" hidden="false" customHeight="false" outlineLevel="0" collapsed="false">
      <c r="A14" s="6" t="s">
        <v>168</v>
      </c>
      <c r="B14" s="3" t="s">
        <v>82</v>
      </c>
      <c r="C14" s="14" t="n">
        <f aca="false">C13*Допущения!$C$29</f>
        <v>108</v>
      </c>
      <c r="D14" s="14" t="n">
        <f aca="false">D13*Допущения!$C$29</f>
        <v>157.14</v>
      </c>
      <c r="E14" s="14" t="n">
        <f aca="false">E13*Допущения!$C$29</f>
        <v>228.7116</v>
      </c>
      <c r="F14" s="14" t="n">
        <f aca="false">F13*Допущения!$C$29</f>
        <v>493.31484</v>
      </c>
      <c r="G14" s="14" t="n">
        <f aca="false">G13*Допущения!$C$29</f>
        <v>658.58754456</v>
      </c>
      <c r="H14" s="14" t="n">
        <f aca="false">H13*Допущения!$C$29</f>
        <v>837.3515911488</v>
      </c>
      <c r="I14" s="14" t="n">
        <f aca="false">I13*Допущения!$C$29</f>
        <v>1028.20303698653</v>
      </c>
      <c r="J14" s="14" t="n">
        <f aca="false">J13*Допущения!$C$29</f>
        <v>702.775910626053</v>
      </c>
      <c r="K14" s="14" t="n">
        <f aca="false">K13*Допущения!$C$29</f>
        <v>864.685525487051</v>
      </c>
      <c r="L14" s="14" t="n">
        <f aca="false">L13*Допущения!$C$29</f>
        <v>1038.11599328648</v>
      </c>
      <c r="M14" s="14" t="n">
        <f aca="false">M13*Допущения!$C$29</f>
        <v>1110.82903368929</v>
      </c>
      <c r="N14" s="14" t="n">
        <f aca="false">N13*Допущения!$C$29</f>
        <v>1179.17929166793</v>
      </c>
      <c r="O14" s="14" t="n">
        <f aca="false">O13*Допущения!$C$29</f>
        <v>1102.74282733428</v>
      </c>
      <c r="P14" s="14" t="n">
        <f aca="false">P13*Допущения!$C$29</f>
        <v>939.43369327067</v>
      </c>
      <c r="Q14" s="14" t="n">
        <f aca="false">Q13*Допущения!$C$29</f>
        <v>1045.06767167443</v>
      </c>
      <c r="R14" s="14" t="n">
        <f aca="false">R13*Допущения!$C$29</f>
        <v>1907.27268562327</v>
      </c>
      <c r="S14" s="14" t="n">
        <f aca="false">S13*Допущения!$C$29</f>
        <v>2269.11995693447</v>
      </c>
      <c r="T14" s="14" t="n">
        <f aca="false">T13*Допущения!$C$29</f>
        <v>2650.87937402007</v>
      </c>
      <c r="U14" s="14" t="n">
        <f aca="false">U13*Допущения!$C$29</f>
        <v>3050.47882921044</v>
      </c>
      <c r="V14" s="14" t="n">
        <f aca="false">V13*Допущения!$C$29</f>
        <v>1980.58467658942</v>
      </c>
      <c r="W14" s="14" t="n">
        <f aca="false">W13*Допущения!$C$29</f>
        <v>2337.46829549331</v>
      </c>
      <c r="X14" s="14" t="n">
        <f aca="false">X13*Допущения!$C$29</f>
        <v>2711.35577529302</v>
      </c>
      <c r="Y14" s="14" t="n">
        <f aca="false">Y13*Допущения!$C$29</f>
        <v>2818.67442877544</v>
      </c>
      <c r="Z14" s="14" t="n">
        <f aca="false">Z13*Допущения!$C$29</f>
        <v>2919.55396304891</v>
      </c>
      <c r="AA14" s="14" t="n">
        <f aca="false">AA13*Допущения!$C$29</f>
        <v>2483.50458021278</v>
      </c>
      <c r="AB14" s="14" t="n">
        <f aca="false">AB13*Допущения!$C$29</f>
        <v>1966.87072905001</v>
      </c>
      <c r="AC14" s="14" t="n">
        <f aca="false">AC13*Допущения!$C$29</f>
        <v>2064.85848530701</v>
      </c>
      <c r="AD14" s="14" t="n">
        <f aca="false">AD13*Допущения!$C$29</f>
        <v>3594.94496031432</v>
      </c>
      <c r="AE14" s="14" t="n">
        <f aca="false">AE13*Допущения!$C$29</f>
        <v>4113.173088965</v>
      </c>
      <c r="AF14" s="14" t="n">
        <f aca="false">AF13*Допущения!$C$29</f>
        <v>4649.87204032047</v>
      </c>
      <c r="AG14" s="14" t="n">
        <f aca="false">AG13*Допущения!$C$29</f>
        <v>5203.11969439302</v>
      </c>
      <c r="AH14" s="14" t="n">
        <f aca="false">AH13*Допущения!$C$29</f>
        <v>3297.80462321811</v>
      </c>
      <c r="AI14" s="14" t="n">
        <f aca="false">AI13*Допущения!$C$29</f>
        <v>3811.42838905316</v>
      </c>
      <c r="AJ14" s="14" t="n">
        <f aca="false">AJ13*Допущения!$C$29</f>
        <v>4340.82520634441</v>
      </c>
      <c r="AK14" s="14" t="n">
        <f aca="false">AK13*Допущения!$C$29</f>
        <v>4440.37569396374</v>
      </c>
      <c r="AL14" s="14" t="n">
        <f aca="false">AL13*Допущения!$C$29</f>
        <v>4533.95315232592</v>
      </c>
    </row>
    <row r="15" customFormat="false" ht="15" hidden="false" customHeight="false" outlineLevel="0" collapsed="false">
      <c r="A15" s="6" t="s">
        <v>169</v>
      </c>
      <c r="B15" s="3" t="s">
        <v>82</v>
      </c>
      <c r="C15" s="14" t="n">
        <f aca="false">C14*(1-Допущения!$C$12)</f>
        <v>97.2</v>
      </c>
      <c r="D15" s="14" t="n">
        <f aca="false">D14*(1-Допущения!$C$12)</f>
        <v>141.426</v>
      </c>
      <c r="E15" s="14" t="n">
        <f aca="false">E14*(1-Допущения!$C$12)</f>
        <v>205.84044</v>
      </c>
      <c r="F15" s="14" t="n">
        <f aca="false">F14*(1-Допущения!$C$12)</f>
        <v>443.983356</v>
      </c>
      <c r="G15" s="14" t="n">
        <f aca="false">G14*(1-Допущения!$C$12)</f>
        <v>592.728790104</v>
      </c>
      <c r="H15" s="14" t="n">
        <f aca="false">H14*(1-Допущения!$C$12)</f>
        <v>753.61643203392</v>
      </c>
      <c r="I15" s="14" t="n">
        <f aca="false">I14*(1-Допущения!$C$12)</f>
        <v>925.382733287875</v>
      </c>
      <c r="J15" s="14" t="n">
        <f aca="false">J14*(1-Допущения!$C$12)</f>
        <v>632.498319563448</v>
      </c>
      <c r="K15" s="14" t="n">
        <f aca="false">K14*(1-Допущения!$C$12)</f>
        <v>778.216972938346</v>
      </c>
      <c r="L15" s="14" t="n">
        <f aca="false">L14*(1-Допущения!$C$12)</f>
        <v>934.304393957828</v>
      </c>
      <c r="M15" s="14" t="n">
        <f aca="false">M14*(1-Допущения!$C$12)</f>
        <v>999.746130320359</v>
      </c>
      <c r="N15" s="14" t="n">
        <f aca="false">N14*(1-Допущения!$C$12)</f>
        <v>1061.26136250114</v>
      </c>
      <c r="O15" s="14" t="n">
        <f aca="false">O14*(1-Допущения!$C$12)</f>
        <v>992.468544600855</v>
      </c>
      <c r="P15" s="14" t="n">
        <f aca="false">P14*(1-Допущения!$C$12)</f>
        <v>845.490323943603</v>
      </c>
      <c r="Q15" s="14" t="n">
        <f aca="false">Q14*(1-Допущения!$C$12)</f>
        <v>940.560904506987</v>
      </c>
      <c r="R15" s="14" t="n">
        <f aca="false">R14*(1-Допущения!$C$12)</f>
        <v>1716.54541706095</v>
      </c>
      <c r="S15" s="14" t="n">
        <f aca="false">S14*(1-Допущения!$C$12)</f>
        <v>2042.20796124102</v>
      </c>
      <c r="T15" s="14" t="n">
        <f aca="false">T14*(1-Допущения!$C$12)</f>
        <v>2385.79143661806</v>
      </c>
      <c r="U15" s="14" t="n">
        <f aca="false">U14*(1-Допущения!$C$12)</f>
        <v>2745.43094628939</v>
      </c>
      <c r="V15" s="14" t="n">
        <f aca="false">V14*(1-Допущения!$C$12)</f>
        <v>1782.52620893048</v>
      </c>
      <c r="W15" s="14" t="n">
        <f aca="false">W14*(1-Допущения!$C$12)</f>
        <v>2103.72146594398</v>
      </c>
      <c r="X15" s="14" t="n">
        <f aca="false">X14*(1-Допущения!$C$12)</f>
        <v>2440.22019776372</v>
      </c>
      <c r="Y15" s="14" t="n">
        <f aca="false">Y14*(1-Допущения!$C$12)</f>
        <v>2536.80698589789</v>
      </c>
      <c r="Z15" s="14" t="n">
        <f aca="false">Z14*(1-Допущения!$C$12)</f>
        <v>2627.59856674402</v>
      </c>
      <c r="AA15" s="14" t="n">
        <f aca="false">AA14*(1-Допущения!$C$12)</f>
        <v>2235.1541221915</v>
      </c>
      <c r="AB15" s="14" t="n">
        <f aca="false">AB14*(1-Допущения!$C$12)</f>
        <v>1770.18365614501</v>
      </c>
      <c r="AC15" s="14" t="n">
        <f aca="false">AC14*(1-Допущения!$C$12)</f>
        <v>1858.37263677631</v>
      </c>
      <c r="AD15" s="14" t="n">
        <f aca="false">AD14*(1-Допущения!$C$12)</f>
        <v>3235.45046428288</v>
      </c>
      <c r="AE15" s="14" t="n">
        <f aca="false">AE14*(1-Допущения!$C$12)</f>
        <v>3701.8557800685</v>
      </c>
      <c r="AF15" s="14" t="n">
        <f aca="false">AF14*(1-Допущения!$C$12)</f>
        <v>4184.88483628843</v>
      </c>
      <c r="AG15" s="14" t="n">
        <f aca="false">AG14*(1-Допущения!$C$12)</f>
        <v>4682.80772495372</v>
      </c>
      <c r="AH15" s="14" t="n">
        <f aca="false">AH14*(1-Допущения!$C$12)</f>
        <v>2968.0241608963</v>
      </c>
      <c r="AI15" s="14" t="n">
        <f aca="false">AI14*(1-Допущения!$C$12)</f>
        <v>3430.28555014784</v>
      </c>
      <c r="AJ15" s="14" t="n">
        <f aca="false">AJ14*(1-Допущения!$C$12)</f>
        <v>3906.74268570997</v>
      </c>
      <c r="AK15" s="14" t="n">
        <f aca="false">AK14*(1-Допущения!$C$12)</f>
        <v>3996.33812456737</v>
      </c>
      <c r="AL15" s="14" t="n">
        <f aca="false">AL14*(1-Допущения!$C$12)</f>
        <v>4080.55783709333</v>
      </c>
    </row>
    <row r="16" customFormat="false" ht="15" hidden="false" customHeight="false" outlineLevel="0" collapsed="false">
      <c r="A16" s="6" t="s">
        <v>170</v>
      </c>
      <c r="B16" s="3" t="s">
        <v>85</v>
      </c>
      <c r="C16" s="14" t="n">
        <f aca="false">C15*Допущения!$C$22</f>
        <v>486000</v>
      </c>
      <c r="D16" s="14" t="n">
        <f aca="false">D15*Допущения!$C$22</f>
        <v>707130</v>
      </c>
      <c r="E16" s="14" t="n">
        <f aca="false">E15*Допущения!$C$22</f>
        <v>1029202.2</v>
      </c>
      <c r="F16" s="14" t="n">
        <f aca="false">F15*Допущения!$C$22</f>
        <v>2219916.78</v>
      </c>
      <c r="G16" s="14" t="n">
        <f aca="false">G15*Допущения!$C$22</f>
        <v>2963643.95052</v>
      </c>
      <c r="H16" s="14" t="n">
        <f aca="false">H15*Допущения!$C$22</f>
        <v>3768082.1601696</v>
      </c>
      <c r="I16" s="14" t="n">
        <f aca="false">I15*Допущения!$C$22</f>
        <v>4626913.66643938</v>
      </c>
      <c r="J16" s="14" t="n">
        <f aca="false">J15*Допущения!$C$22</f>
        <v>3162491.59781724</v>
      </c>
      <c r="K16" s="14" t="n">
        <f aca="false">K15*Допущения!$C$22</f>
        <v>3891084.86469173</v>
      </c>
      <c r="L16" s="14" t="n">
        <f aca="false">L15*Допущения!$C$22</f>
        <v>4671521.96978914</v>
      </c>
      <c r="M16" s="14" t="n">
        <f aca="false">M15*Допущения!$C$22</f>
        <v>4998730.65160179</v>
      </c>
      <c r="N16" s="14" t="n">
        <f aca="false">N15*Допущения!$C$22</f>
        <v>5306306.81250569</v>
      </c>
      <c r="O16" s="14" t="n">
        <f aca="false">O15*Допущения!$C$22</f>
        <v>4962342.72300428</v>
      </c>
      <c r="P16" s="14" t="n">
        <f aca="false">P15*Допущения!$C$22</f>
        <v>4227451.61971801</v>
      </c>
      <c r="Q16" s="14" t="n">
        <f aca="false">Q15*Допущения!$C$22</f>
        <v>4702804.52253494</v>
      </c>
      <c r="R16" s="14" t="n">
        <f aca="false">R15*Допущения!$C$22</f>
        <v>8582727.08530473</v>
      </c>
      <c r="S16" s="14" t="n">
        <f aca="false">S15*Допущения!$C$22</f>
        <v>10211039.8062051</v>
      </c>
      <c r="T16" s="14" t="n">
        <f aca="false">T15*Допущения!$C$22</f>
        <v>11928957.1830903</v>
      </c>
      <c r="U16" s="14" t="n">
        <f aca="false">U15*Допущения!$C$22</f>
        <v>13727154.731447</v>
      </c>
      <c r="V16" s="14" t="n">
        <f aca="false">V15*Допущения!$C$22</f>
        <v>8912631.0446524</v>
      </c>
      <c r="W16" s="14" t="n">
        <f aca="false">W15*Допущения!$C$22</f>
        <v>10518607.3297199</v>
      </c>
      <c r="X16" s="14" t="n">
        <f aca="false">X15*Допущения!$C$22</f>
        <v>12201100.9888186</v>
      </c>
      <c r="Y16" s="14" t="n">
        <f aca="false">Y15*Допущения!$C$22</f>
        <v>12684034.9294895</v>
      </c>
      <c r="Z16" s="14" t="n">
        <f aca="false">Z15*Допущения!$C$22</f>
        <v>13137992.8337201</v>
      </c>
      <c r="AA16" s="14" t="n">
        <f aca="false">AA15*Допущения!$C$22</f>
        <v>11175770.6109575</v>
      </c>
      <c r="AB16" s="14" t="n">
        <f aca="false">AB15*Допущения!$C$22</f>
        <v>8850918.28072505</v>
      </c>
      <c r="AC16" s="14" t="n">
        <f aca="false">AC15*Допущения!$C$22</f>
        <v>9291863.18388154</v>
      </c>
      <c r="AD16" s="14" t="n">
        <f aca="false">AD15*Допущения!$C$22</f>
        <v>16177252.3214144</v>
      </c>
      <c r="AE16" s="14" t="n">
        <f aca="false">AE15*Допущения!$C$22</f>
        <v>18509278.9003425</v>
      </c>
      <c r="AF16" s="14" t="n">
        <f aca="false">AF15*Допущения!$C$22</f>
        <v>20924424.1814421</v>
      </c>
      <c r="AG16" s="14" t="n">
        <f aca="false">AG15*Допущения!$C$22</f>
        <v>23414038.6247686</v>
      </c>
      <c r="AH16" s="14" t="n">
        <f aca="false">AH15*Допущения!$C$22</f>
        <v>14840120.8044815</v>
      </c>
      <c r="AI16" s="14" t="n">
        <f aca="false">AI15*Допущения!$C$22</f>
        <v>17151427.7507392</v>
      </c>
      <c r="AJ16" s="14" t="n">
        <f aca="false">AJ15*Допущения!$C$22</f>
        <v>19533713.4285498</v>
      </c>
      <c r="AK16" s="14" t="n">
        <f aca="false">AK15*Допущения!$C$22</f>
        <v>19981690.6228368</v>
      </c>
      <c r="AL16" s="14" t="n">
        <f aca="false">AL15*Допущения!$C$22</f>
        <v>20402789.1854666</v>
      </c>
    </row>
    <row r="17" customFormat="false" ht="15" hidden="false" customHeight="false" outlineLevel="0" collapsed="false">
      <c r="A17" s="6" t="s">
        <v>171</v>
      </c>
      <c r="B17" s="3" t="s">
        <v>85</v>
      </c>
      <c r="C17" s="14" t="n">
        <f aca="false">C16*(Допущения!$C$6+Допущения!$C$7)*(1-Допущения!$C$13)</f>
        <v>23571</v>
      </c>
      <c r="D17" s="14" t="n">
        <f aca="false">D16*(Допущения!$C$6+Допущения!$C$7)*(1-Допущения!$C$13)</f>
        <v>34295.805</v>
      </c>
      <c r="E17" s="14" t="n">
        <f aca="false">E16*(Допущения!$C$6+Допущения!$C$7)*(1-Допущения!$C$13)</f>
        <v>49916.3067</v>
      </c>
      <c r="F17" s="14" t="n">
        <f aca="false">F16*(Допущения!$C$6+Допущения!$C$7)*(1-Допущения!$C$13)</f>
        <v>107665.96383</v>
      </c>
      <c r="G17" s="14" t="n">
        <f aca="false">G16*(Допущения!$C$6+Допущения!$C$7)*(1-Допущения!$C$13)</f>
        <v>143736.73160022</v>
      </c>
      <c r="H17" s="14" t="n">
        <f aca="false">H16*(Допущения!$C$6+Допущения!$C$7)*(1-Допущения!$C$13)</f>
        <v>182751.984768226</v>
      </c>
      <c r="I17" s="14" t="n">
        <f aca="false">I16*(Допущения!$C$6+Допущения!$C$7)*(1-Допущения!$C$13)</f>
        <v>224405.31282231</v>
      </c>
      <c r="J17" s="14" t="n">
        <f aca="false">J16*(Допущения!$C$6+Допущения!$C$7)*(1-Допущения!$C$13)</f>
        <v>153380.842494136</v>
      </c>
      <c r="K17" s="14" t="n">
        <f aca="false">K16*(Допущения!$C$6+Допущения!$C$7)*(1-Допущения!$C$13)</f>
        <v>188717.615937549</v>
      </c>
      <c r="L17" s="14" t="n">
        <f aca="false">L16*(Допущения!$C$6+Допущения!$C$7)*(1-Допущения!$C$13)</f>
        <v>226568.815534773</v>
      </c>
      <c r="M17" s="14" t="n">
        <f aca="false">M16*(Допущения!$C$6+Допущения!$C$7)*(1-Допущения!$C$13)</f>
        <v>242438.436602687</v>
      </c>
      <c r="N17" s="14" t="n">
        <f aca="false">N16*(Допущения!$C$6+Допущения!$C$7)*(1-Допущения!$C$13)</f>
        <v>257355.880406526</v>
      </c>
      <c r="O17" s="14" t="n">
        <f aca="false">O16*(Допущения!$C$6+Допущения!$C$7)*(1-Допущения!$C$13)</f>
        <v>240673.622065707</v>
      </c>
      <c r="P17" s="14" t="n">
        <f aca="false">P16*(Допущения!$C$6+Допущения!$C$7)*(1-Допущения!$C$13)</f>
        <v>205031.403556324</v>
      </c>
      <c r="Q17" s="14" t="n">
        <f aca="false">Q16*(Допущения!$C$6+Допущения!$C$7)*(1-Допущения!$C$13)</f>
        <v>228086.019342944</v>
      </c>
      <c r="R17" s="14" t="n">
        <f aca="false">R16*(Допущения!$C$6+Допущения!$C$7)*(1-Допущения!$C$13)</f>
        <v>416262.263637279</v>
      </c>
      <c r="S17" s="14" t="n">
        <f aca="false">S16*(Допущения!$C$6+Допущения!$C$7)*(1-Допущения!$C$13)</f>
        <v>495235.430600947</v>
      </c>
      <c r="T17" s="14" t="n">
        <f aca="false">T16*(Допущения!$C$6+Допущения!$C$7)*(1-Допущения!$C$13)</f>
        <v>578554.42337988</v>
      </c>
      <c r="U17" s="14" t="n">
        <f aca="false">U16*(Допущения!$C$6+Допущения!$C$7)*(1-Допущения!$C$13)</f>
        <v>665767.004475178</v>
      </c>
      <c r="V17" s="14" t="n">
        <f aca="false">V16*(Допущения!$C$6+Допущения!$C$7)*(1-Допущения!$C$13)</f>
        <v>432262.605665641</v>
      </c>
      <c r="W17" s="14" t="n">
        <f aca="false">W16*(Допущения!$C$6+Допущения!$C$7)*(1-Допущения!$C$13)</f>
        <v>510152.455491416</v>
      </c>
      <c r="X17" s="14" t="n">
        <f aca="false">X16*(Допущения!$C$6+Допущения!$C$7)*(1-Допущения!$C$13)</f>
        <v>591753.397957701</v>
      </c>
      <c r="Y17" s="14" t="n">
        <f aca="false">Y16*(Допущения!$C$6+Допущения!$C$7)*(1-Допущения!$C$13)</f>
        <v>615175.694080239</v>
      </c>
      <c r="Z17" s="14" t="n">
        <f aca="false">Z16*(Допущения!$C$6+Допущения!$C$7)*(1-Допущения!$C$13)</f>
        <v>637192.652435425</v>
      </c>
      <c r="AA17" s="14" t="n">
        <f aca="false">AA16*(Допущения!$C$6+Допущения!$C$7)*(1-Допущения!$C$13)</f>
        <v>542024.874631439</v>
      </c>
      <c r="AB17" s="14" t="n">
        <f aca="false">AB16*(Допущения!$C$6+Допущения!$C$7)*(1-Допущения!$C$13)</f>
        <v>429269.536615165</v>
      </c>
      <c r="AC17" s="14" t="n">
        <f aca="false">AC16*(Допущения!$C$6+Допущения!$C$7)*(1-Допущения!$C$13)</f>
        <v>450655.364418255</v>
      </c>
      <c r="AD17" s="14" t="n">
        <f aca="false">AD16*(Допущения!$C$6+Допущения!$C$7)*(1-Допущения!$C$13)</f>
        <v>784596.737588599</v>
      </c>
      <c r="AE17" s="14" t="n">
        <f aca="false">AE16*(Допущения!$C$6+Допущения!$C$7)*(1-Допущения!$C$13)</f>
        <v>897700.026666612</v>
      </c>
      <c r="AF17" s="14" t="n">
        <f aca="false">AF16*(Допущения!$C$6+Допущения!$C$7)*(1-Допущения!$C$13)</f>
        <v>1014834.57279994</v>
      </c>
      <c r="AG17" s="14" t="n">
        <f aca="false">AG16*(Допущения!$C$6+Допущения!$C$7)*(1-Допущения!$C$13)</f>
        <v>1135580.87330128</v>
      </c>
      <c r="AH17" s="14" t="n">
        <f aca="false">AH16*(Допущения!$C$6+Допущения!$C$7)*(1-Допущения!$C$13)</f>
        <v>719745.859017353</v>
      </c>
      <c r="AI17" s="14" t="n">
        <f aca="false">AI16*(Допущения!$C$6+Допущения!$C$7)*(1-Допущения!$C$13)</f>
        <v>831844.245910851</v>
      </c>
      <c r="AJ17" s="14" t="n">
        <f aca="false">AJ16*(Допущения!$C$6+Допущения!$C$7)*(1-Допущения!$C$13)</f>
        <v>947385.101284667</v>
      </c>
      <c r="AK17" s="14" t="n">
        <f aca="false">AK16*(Допущения!$C$6+Допущения!$C$7)*(1-Допущения!$C$13)</f>
        <v>969111.995207587</v>
      </c>
      <c r="AL17" s="14" t="n">
        <f aca="false">AL16*(Допущения!$C$6+Допущения!$C$7)*(1-Допущения!$C$13)</f>
        <v>989535.275495132</v>
      </c>
    </row>
    <row r="18" customFormat="false" ht="15" hidden="false" customHeight="false" outlineLevel="0" collapsed="false">
      <c r="A18" s="6" t="s">
        <v>172</v>
      </c>
      <c r="B18" s="3" t="s">
        <v>85</v>
      </c>
      <c r="C18" s="14" t="n">
        <f aca="false">C16*(1+Допущения!$C$6)*Допущения!$C$23</f>
        <v>12757.5</v>
      </c>
      <c r="D18" s="14" t="n">
        <f aca="false">D16*(1+Допущения!$C$6)*Допущения!$C$23</f>
        <v>18562.1625</v>
      </c>
      <c r="E18" s="14" t="n">
        <f aca="false">E16*(1+Допущения!$C$6)*Допущения!$C$23</f>
        <v>27016.55775</v>
      </c>
      <c r="F18" s="14" t="n">
        <f aca="false">F16*(1+Допущения!$C$6)*Допущения!$C$23</f>
        <v>58272.815475</v>
      </c>
      <c r="G18" s="14" t="n">
        <f aca="false">G16*(1+Допущения!$C$6)*Допущения!$C$23</f>
        <v>77795.65370115</v>
      </c>
      <c r="H18" s="14" t="n">
        <f aca="false">H16*(1+Допущения!$C$6)*Допущения!$C$23</f>
        <v>98912.156704452</v>
      </c>
      <c r="I18" s="14" t="n">
        <f aca="false">I16*(1+Допущения!$C$6)*Допущения!$C$23</f>
        <v>121456.483744034</v>
      </c>
      <c r="J18" s="14" t="n">
        <f aca="false">J16*(1+Допущения!$C$6)*Допущения!$C$23</f>
        <v>83015.4044427025</v>
      </c>
      <c r="K18" s="14" t="n">
        <f aca="false">K16*(1+Допущения!$C$6)*Допущения!$C$23</f>
        <v>102140.977698158</v>
      </c>
      <c r="L18" s="14" t="n">
        <f aca="false">L16*(1+Допущения!$C$6)*Допущения!$C$23</f>
        <v>122627.451706965</v>
      </c>
      <c r="M18" s="14" t="n">
        <f aca="false">M16*(1+Допущения!$C$6)*Допущения!$C$23</f>
        <v>131216.679604547</v>
      </c>
      <c r="N18" s="14" t="n">
        <f aca="false">N16*(1+Допущения!$C$6)*Допущения!$C$23</f>
        <v>139290.553828274</v>
      </c>
      <c r="O18" s="14" t="n">
        <f aca="false">O16*(1+Допущения!$C$6)*Допущения!$C$23</f>
        <v>130261.496478862</v>
      </c>
      <c r="P18" s="14" t="n">
        <f aca="false">P16*(1+Допущения!$C$6)*Допущения!$C$23</f>
        <v>110970.605017598</v>
      </c>
      <c r="Q18" s="14" t="n">
        <f aca="false">Q16*(1+Допущения!$C$6)*Допущения!$C$23</f>
        <v>123448.618716542</v>
      </c>
      <c r="R18" s="14" t="n">
        <f aca="false">R16*(1+Допущения!$C$6)*Допущения!$C$23</f>
        <v>225296.585989249</v>
      </c>
      <c r="S18" s="14" t="n">
        <f aca="false">S16*(1+Допущения!$C$6)*Допущения!$C$23</f>
        <v>268039.794912884</v>
      </c>
      <c r="T18" s="14" t="n">
        <f aca="false">T16*(1+Допущения!$C$6)*Допущения!$C$23</f>
        <v>313135.126056121</v>
      </c>
      <c r="U18" s="14" t="n">
        <f aca="false">U16*(1+Допущения!$C$6)*Допущения!$C$23</f>
        <v>360337.811700483</v>
      </c>
      <c r="V18" s="14" t="n">
        <f aca="false">V16*(1+Допущения!$C$6)*Допущения!$C$23</f>
        <v>233956.564922126</v>
      </c>
      <c r="W18" s="14" t="n">
        <f aca="false">W16*(1+Допущения!$C$6)*Допущения!$C$23</f>
        <v>276113.442405148</v>
      </c>
      <c r="X18" s="14" t="n">
        <f aca="false">X16*(1+Допущения!$C$6)*Допущения!$C$23</f>
        <v>320278.900956488</v>
      </c>
      <c r="Y18" s="14" t="n">
        <f aca="false">Y16*(1+Допущения!$C$6)*Допущения!$C$23</f>
        <v>332955.916899098</v>
      </c>
      <c r="Z18" s="14" t="n">
        <f aca="false">Z16*(1+Допущения!$C$6)*Допущения!$C$23</f>
        <v>344872.311885153</v>
      </c>
      <c r="AA18" s="14" t="n">
        <f aca="false">AA16*(1+Допущения!$C$6)*Допущения!$C$23</f>
        <v>293363.978537635</v>
      </c>
      <c r="AB18" s="14" t="n">
        <f aca="false">AB16*(1+Допущения!$C$6)*Допущения!$C$23</f>
        <v>232336.604869032</v>
      </c>
      <c r="AC18" s="14" t="n">
        <f aca="false">AC16*(1+Допущения!$C$6)*Допущения!$C$23</f>
        <v>243911.408576891</v>
      </c>
      <c r="AD18" s="14" t="n">
        <f aca="false">AD16*(1+Допущения!$C$6)*Допущения!$C$23</f>
        <v>424652.873437129</v>
      </c>
      <c r="AE18" s="14" t="n">
        <f aca="false">AE16*(1+Допущения!$C$6)*Допущения!$C$23</f>
        <v>485868.571133991</v>
      </c>
      <c r="AF18" s="14" t="n">
        <f aca="false">AF16*(1+Допущения!$C$6)*Допущения!$C$23</f>
        <v>549266.134762856</v>
      </c>
      <c r="AG18" s="14" t="n">
        <f aca="false">AG16*(1+Допущения!$C$6)*Допущения!$C$23</f>
        <v>614618.513900175</v>
      </c>
      <c r="AH18" s="14" t="n">
        <f aca="false">AH16*(1+Допущения!$C$6)*Допущения!$C$23</f>
        <v>389553.17111764</v>
      </c>
      <c r="AI18" s="14" t="n">
        <f aca="false">AI16*(1+Допущения!$C$6)*Допущения!$C$23</f>
        <v>450224.978456904</v>
      </c>
      <c r="AJ18" s="14" t="n">
        <f aca="false">AJ16*(1+Допущения!$C$6)*Допущения!$C$23</f>
        <v>512759.977499433</v>
      </c>
      <c r="AK18" s="14" t="n">
        <f aca="false">AK16*(1+Допущения!$C$6)*Допущения!$C$23</f>
        <v>524519.378849467</v>
      </c>
      <c r="AL18" s="14" t="n">
        <f aca="false">AL16*(1+Допущения!$C$6)*Допущения!$C$23</f>
        <v>535573.216118499</v>
      </c>
    </row>
    <row r="19" customFormat="false" ht="15" hidden="false" customHeight="false" outlineLevel="0" collapsed="false">
      <c r="A19" s="6" t="s">
        <v>173</v>
      </c>
      <c r="B19" s="3" t="s">
        <v>85</v>
      </c>
      <c r="C19" s="14" t="n">
        <f aca="false">C14/Допущения!$C$9*Допущения!$C$10+C14*Допущения!$C$11</f>
        <v>1620</v>
      </c>
      <c r="D19" s="14" t="n">
        <f aca="false">D14/Допущения!$C$9*Допущения!$C$10+D14*Допущения!$C$11</f>
        <v>2357.1</v>
      </c>
      <c r="E19" s="14" t="n">
        <f aca="false">E14/Допущения!$C$9*Допущения!$C$10+E14*Допущения!$C$11</f>
        <v>3430.674</v>
      </c>
      <c r="F19" s="14" t="n">
        <f aca="false">F14/Допущения!$C$9*Допущения!$C$10+F14*Допущения!$C$11</f>
        <v>7399.7226</v>
      </c>
      <c r="G19" s="14" t="n">
        <f aca="false">G14/Допущения!$C$9*Допущения!$C$10+G14*Допущения!$C$11</f>
        <v>9878.8131684</v>
      </c>
      <c r="H19" s="14" t="n">
        <f aca="false">H14/Допущения!$C$9*Допущения!$C$10+H14*Допущения!$C$11</f>
        <v>12560.273867232</v>
      </c>
      <c r="I19" s="14" t="n">
        <f aca="false">I14/Допущения!$C$9*Допущения!$C$10+I14*Допущения!$C$11</f>
        <v>15423.0455547979</v>
      </c>
      <c r="J19" s="14" t="n">
        <f aca="false">J14/Допущения!$C$9*Допущения!$C$10+J14*Допущения!$C$11</f>
        <v>10541.6386593908</v>
      </c>
      <c r="K19" s="14" t="n">
        <f aca="false">K14/Допущения!$C$9*Допущения!$C$10+K14*Допущения!$C$11</f>
        <v>12970.2828823058</v>
      </c>
      <c r="L19" s="14" t="n">
        <f aca="false">L14/Допущения!$C$9*Допущения!$C$10+L14*Допущения!$C$11</f>
        <v>15571.7398992971</v>
      </c>
      <c r="M19" s="14" t="n">
        <f aca="false">M14/Допущения!$C$9*Допущения!$C$10+M14*Допущения!$C$11</f>
        <v>16662.4355053393</v>
      </c>
      <c r="N19" s="14" t="n">
        <f aca="false">N14/Допущения!$C$9*Допущения!$C$10+N14*Допущения!$C$11</f>
        <v>17687.689375019</v>
      </c>
      <c r="O19" s="14" t="n">
        <f aca="false">O14/Допущения!$C$9*Допущения!$C$10+O14*Допущения!$C$11</f>
        <v>16541.1424100143</v>
      </c>
      <c r="P19" s="14" t="n">
        <f aca="false">P14/Допущения!$C$9*Допущения!$C$10+P14*Допущения!$C$11</f>
        <v>14091.5053990601</v>
      </c>
      <c r="Q19" s="14" t="n">
        <f aca="false">Q14/Допущения!$C$9*Допущения!$C$10+Q14*Допущения!$C$11</f>
        <v>15676.0150751165</v>
      </c>
      <c r="R19" s="14" t="n">
        <f aca="false">R14/Допущения!$C$9*Допущения!$C$10+R14*Допущения!$C$11</f>
        <v>28609.0902843491</v>
      </c>
      <c r="S19" s="14" t="n">
        <f aca="false">S14/Допущения!$C$9*Допущения!$C$10+S14*Допущения!$C$11</f>
        <v>34036.799354017</v>
      </c>
      <c r="T19" s="14" t="n">
        <f aca="false">T14/Допущения!$C$9*Допущения!$C$10+T14*Допущения!$C$11</f>
        <v>39763.190610301</v>
      </c>
      <c r="U19" s="14" t="n">
        <f aca="false">U14/Допущения!$C$9*Допущения!$C$10+U14*Допущения!$C$11</f>
        <v>45757.1824381566</v>
      </c>
      <c r="V19" s="14" t="n">
        <f aca="false">V14/Допущения!$C$9*Допущения!$C$10+V14*Допущения!$C$11</f>
        <v>29708.7701488413</v>
      </c>
      <c r="W19" s="14" t="n">
        <f aca="false">W14/Допущения!$C$9*Допущения!$C$10+W14*Допущения!$C$11</f>
        <v>35062.0244323997</v>
      </c>
      <c r="X19" s="14" t="n">
        <f aca="false">X14/Допущения!$C$9*Допущения!$C$10+X14*Допущения!$C$11</f>
        <v>40670.3366293953</v>
      </c>
      <c r="Y19" s="14" t="n">
        <f aca="false">Y14/Допущения!$C$9*Допущения!$C$10+Y14*Допущения!$C$11</f>
        <v>42280.1164316315</v>
      </c>
      <c r="Z19" s="14" t="n">
        <f aca="false">Z14/Допущения!$C$9*Допущения!$C$10+Z14*Допущения!$C$11</f>
        <v>43793.3094457337</v>
      </c>
      <c r="AA19" s="14" t="n">
        <f aca="false">AA14/Допущения!$C$9*Допущения!$C$10+AA14*Допущения!$C$11</f>
        <v>37252.5687031917</v>
      </c>
      <c r="AB19" s="14" t="n">
        <f aca="false">AB14/Допущения!$C$9*Допущения!$C$10+AB14*Допущения!$C$11</f>
        <v>29503.0609357502</v>
      </c>
      <c r="AC19" s="14" t="n">
        <f aca="false">AC14/Допущения!$C$9*Допущения!$C$10+AC14*Допущения!$C$11</f>
        <v>30972.8772796051</v>
      </c>
      <c r="AD19" s="14" t="n">
        <f aca="false">AD14/Допущения!$C$9*Допущения!$C$10+AD14*Допущения!$C$11</f>
        <v>53924.1744047147</v>
      </c>
      <c r="AE19" s="14" t="n">
        <f aca="false">AE14/Допущения!$C$9*Допущения!$C$10+AE14*Допущения!$C$11</f>
        <v>61697.596334475</v>
      </c>
      <c r="AF19" s="14" t="n">
        <f aca="false">AF14/Допущения!$C$9*Допущения!$C$10+AF14*Допущения!$C$11</f>
        <v>69748.0806048071</v>
      </c>
      <c r="AG19" s="14" t="n">
        <f aca="false">AG14/Допущения!$C$9*Допущения!$C$10+AG14*Допущения!$C$11</f>
        <v>78046.7954158952</v>
      </c>
      <c r="AH19" s="14" t="n">
        <f aca="false">AH14/Допущения!$C$9*Допущения!$C$10+AH14*Допущения!$C$11</f>
        <v>49467.0693482717</v>
      </c>
      <c r="AI19" s="14" t="n">
        <f aca="false">AI14/Допущения!$C$9*Допущения!$C$10+AI14*Допущения!$C$11</f>
        <v>57171.4258357973</v>
      </c>
      <c r="AJ19" s="14" t="n">
        <f aca="false">AJ14/Допущения!$C$9*Допущения!$C$10+AJ14*Допущения!$C$11</f>
        <v>65112.3780951661</v>
      </c>
      <c r="AK19" s="14" t="n">
        <f aca="false">AK14/Допущения!$C$9*Допущения!$C$10+AK14*Допущения!$C$11</f>
        <v>66605.6354094561</v>
      </c>
      <c r="AL19" s="14" t="n">
        <f aca="false">AL14/Допущения!$C$9*Допущения!$C$10+AL14*Допущения!$C$11</f>
        <v>68009.2972848888</v>
      </c>
    </row>
    <row r="20" customFormat="false" ht="15" hidden="false" customHeight="false" outlineLevel="0" collapsed="false">
      <c r="A20" s="6" t="s">
        <v>174</v>
      </c>
      <c r="B20" s="3" t="s">
        <v>85</v>
      </c>
      <c r="C20" s="14" t="n">
        <f aca="false">C17*Допущения!$C$8</f>
        <v>942.84</v>
      </c>
      <c r="D20" s="14" t="n">
        <f aca="false">D17*Допущения!$C$8</f>
        <v>1371.8322</v>
      </c>
      <c r="E20" s="14" t="n">
        <f aca="false">E17*Допущения!$C$8</f>
        <v>1996.652268</v>
      </c>
      <c r="F20" s="14" t="n">
        <f aca="false">F17*Допущения!$C$8</f>
        <v>4306.6385532</v>
      </c>
      <c r="G20" s="14" t="n">
        <f aca="false">G17*Допущения!$C$8</f>
        <v>5749.4692640088</v>
      </c>
      <c r="H20" s="14" t="n">
        <f aca="false">H17*Допущения!$C$8</f>
        <v>7310.07939072903</v>
      </c>
      <c r="I20" s="14" t="n">
        <f aca="false">I17*Допущения!$C$8</f>
        <v>8976.21251289239</v>
      </c>
      <c r="J20" s="14" t="n">
        <f aca="false">J17*Допущения!$C$8</f>
        <v>6135.23369976544</v>
      </c>
      <c r="K20" s="14" t="n">
        <f aca="false">K17*Допущения!$C$8</f>
        <v>7548.70463750196</v>
      </c>
      <c r="L20" s="14" t="n">
        <f aca="false">L17*Допущения!$C$8</f>
        <v>9062.75262139093</v>
      </c>
      <c r="M20" s="14" t="n">
        <f aca="false">M17*Допущения!$C$8</f>
        <v>9697.53746410748</v>
      </c>
      <c r="N20" s="14" t="n">
        <f aca="false">N17*Допущения!$C$8</f>
        <v>10294.235216261</v>
      </c>
      <c r="O20" s="14" t="n">
        <f aca="false">O17*Допущения!$C$8</f>
        <v>9626.9448826283</v>
      </c>
      <c r="P20" s="14" t="n">
        <f aca="false">P17*Допущения!$C$8</f>
        <v>8201.25614225295</v>
      </c>
      <c r="Q20" s="14" t="n">
        <f aca="false">Q17*Допущения!$C$8</f>
        <v>9123.44077371777</v>
      </c>
      <c r="R20" s="14" t="n">
        <f aca="false">R17*Допущения!$C$8</f>
        <v>16650.4905454912</v>
      </c>
      <c r="S20" s="14" t="n">
        <f aca="false">S17*Допущения!$C$8</f>
        <v>19809.4172240379</v>
      </c>
      <c r="T20" s="14" t="n">
        <f aca="false">T17*Допущения!$C$8</f>
        <v>23142.1769351952</v>
      </c>
      <c r="U20" s="14" t="n">
        <f aca="false">U17*Допущения!$C$8</f>
        <v>26630.6801790071</v>
      </c>
      <c r="V20" s="14" t="n">
        <f aca="false">V17*Допущения!$C$8</f>
        <v>17290.5042266257</v>
      </c>
      <c r="W20" s="14" t="n">
        <f aca="false">W17*Допущения!$C$8</f>
        <v>20406.0982196566</v>
      </c>
      <c r="X20" s="14" t="n">
        <f aca="false">X17*Допущения!$C$8</f>
        <v>23670.135918308</v>
      </c>
      <c r="Y20" s="14" t="n">
        <f aca="false">Y17*Допущения!$C$8</f>
        <v>24607.0277632096</v>
      </c>
      <c r="Z20" s="14" t="n">
        <f aca="false">Z17*Допущения!$C$8</f>
        <v>25487.706097417</v>
      </c>
      <c r="AA20" s="14" t="n">
        <f aca="false">AA17*Допущения!$C$8</f>
        <v>21680.9949852576</v>
      </c>
      <c r="AB20" s="14" t="n">
        <f aca="false">AB17*Допущения!$C$8</f>
        <v>17170.7814646066</v>
      </c>
      <c r="AC20" s="14" t="n">
        <f aca="false">AC17*Допущения!$C$8</f>
        <v>18026.2145767302</v>
      </c>
      <c r="AD20" s="14" t="n">
        <f aca="false">AD17*Допущения!$C$8</f>
        <v>31383.869503544</v>
      </c>
      <c r="AE20" s="14" t="n">
        <f aca="false">AE17*Допущения!$C$8</f>
        <v>35908.0010666645</v>
      </c>
      <c r="AF20" s="14" t="n">
        <f aca="false">AF17*Допущения!$C$8</f>
        <v>40593.3829119977</v>
      </c>
      <c r="AG20" s="14" t="n">
        <f aca="false">AG17*Допущения!$C$8</f>
        <v>45423.234932051</v>
      </c>
      <c r="AH20" s="14" t="n">
        <f aca="false">AH17*Допущения!$C$8</f>
        <v>28789.8343606941</v>
      </c>
      <c r="AI20" s="14" t="n">
        <f aca="false">AI17*Допущения!$C$8</f>
        <v>33273.7698364341</v>
      </c>
      <c r="AJ20" s="14" t="n">
        <f aca="false">AJ17*Допущения!$C$8</f>
        <v>37895.4040513867</v>
      </c>
      <c r="AK20" s="14" t="n">
        <f aca="false">AK17*Допущения!$C$8</f>
        <v>38764.4798083035</v>
      </c>
      <c r="AL20" s="14" t="n">
        <f aca="false">AL17*Допущения!$C$8</f>
        <v>39581.4110198053</v>
      </c>
    </row>
    <row r="21" customFormat="false" ht="15" hidden="false" customHeight="false" outlineLevel="0" collapsed="false">
      <c r="A21" s="33" t="s">
        <v>175</v>
      </c>
      <c r="B21" s="34" t="s">
        <v>85</v>
      </c>
      <c r="C21" s="35" t="n">
        <f aca="false">C17-C18-C19-C20</f>
        <v>8250.66</v>
      </c>
      <c r="D21" s="35" t="n">
        <f aca="false">D17-D18-D19-D20</f>
        <v>12004.7103</v>
      </c>
      <c r="E21" s="35" t="n">
        <f aca="false">E17-E18-E19-E20</f>
        <v>17472.422682</v>
      </c>
      <c r="F21" s="35" t="n">
        <f aca="false">F17-F18-F19-F20</f>
        <v>37686.7872018</v>
      </c>
      <c r="G21" s="35" t="n">
        <f aca="false">G17-G18-G19-G20</f>
        <v>50312.7954666612</v>
      </c>
      <c r="H21" s="35" t="n">
        <f aca="false">H17-H18-H19-H20</f>
        <v>63969.4748058126</v>
      </c>
      <c r="I21" s="35" t="n">
        <f aca="false">I17-I18-I19-I20</f>
        <v>78549.5710105858</v>
      </c>
      <c r="J21" s="35" t="n">
        <f aca="false">J17-J18-J19-J20</f>
        <v>53688.5656922773</v>
      </c>
      <c r="K21" s="35" t="n">
        <f aca="false">K17-K18-K19-K20</f>
        <v>66057.6507195833</v>
      </c>
      <c r="L21" s="35" t="n">
        <f aca="false">L17-L18-L19-L20</f>
        <v>79306.8713071203</v>
      </c>
      <c r="M21" s="35" t="n">
        <f aca="false">M17-M18-M19-M20</f>
        <v>84861.7840286931</v>
      </c>
      <c r="N21" s="35" t="n">
        <f aca="false">N17-N18-N19-N20</f>
        <v>90083.4019869715</v>
      </c>
      <c r="O21" s="35" t="n">
        <f aca="false">O17-O18-O19-O20</f>
        <v>84244.0382942026</v>
      </c>
      <c r="P21" s="35" t="n">
        <f aca="false">P17-P18-P19-P20</f>
        <v>71768.0369974128</v>
      </c>
      <c r="Q21" s="35" t="n">
        <f aca="false">Q17-Q18-Q19-Q20</f>
        <v>79837.9447775681</v>
      </c>
      <c r="R21" s="35" t="n">
        <f aca="false">R17-R18-R19-R20</f>
        <v>145706.09681819</v>
      </c>
      <c r="S21" s="35" t="n">
        <f aca="false">S17-S18-S19-S20</f>
        <v>173349.419110008</v>
      </c>
      <c r="T21" s="35" t="n">
        <f aca="false">T17-T18-T19-T20</f>
        <v>202513.929778263</v>
      </c>
      <c r="U21" s="35" t="n">
        <f aca="false">U17-U18-U19-U20</f>
        <v>233041.330157531</v>
      </c>
      <c r="V21" s="35" t="n">
        <f aca="false">V17-V18-V19-V20</f>
        <v>151306.766368049</v>
      </c>
      <c r="W21" s="35" t="n">
        <f aca="false">W17-W18-W19-W20</f>
        <v>178570.890434212</v>
      </c>
      <c r="X21" s="35" t="n">
        <f aca="false">X17-X18-X19-X20</f>
        <v>207134.02445351</v>
      </c>
      <c r="Y21" s="35" t="n">
        <f aca="false">Y17-Y18-Y19-Y20</f>
        <v>215332.632986299</v>
      </c>
      <c r="Z21" s="35" t="n">
        <f aca="false">Z17-Z18-Z19-Z20</f>
        <v>223039.325007121</v>
      </c>
      <c r="AA21" s="35" t="n">
        <f aca="false">AA17-AA18-AA19-AA20</f>
        <v>189727.332405355</v>
      </c>
      <c r="AB21" s="35" t="n">
        <f aca="false">AB17-AB18-AB19-AB20</f>
        <v>150259.089345776</v>
      </c>
      <c r="AC21" s="35" t="n">
        <f aca="false">AC17-AC18-AC19-AC20</f>
        <v>157744.863985029</v>
      </c>
      <c r="AD21" s="35" t="n">
        <f aca="false">AD17-AD18-AD19-AD20</f>
        <v>274635.820243212</v>
      </c>
      <c r="AE21" s="35" t="n">
        <f aca="false">AE17-AE18-AE19-AE20</f>
        <v>314225.858131481</v>
      </c>
      <c r="AF21" s="35" t="n">
        <f aca="false">AF17-AF18-AF19-AF20</f>
        <v>355226.974520282</v>
      </c>
      <c r="AG21" s="35" t="n">
        <f aca="false">AG17-AG18-AG19-AG20</f>
        <v>397492.329053154</v>
      </c>
      <c r="AH21" s="35" t="n">
        <f aca="false">AH17-AH18-AH19-AH20</f>
        <v>251935.784190748</v>
      </c>
      <c r="AI21" s="35" t="n">
        <f aca="false">AI17-AI18-AI19-AI20</f>
        <v>291174.071781716</v>
      </c>
      <c r="AJ21" s="35" t="n">
        <f aca="false">AJ17-AJ18-AJ19-AJ20</f>
        <v>331617.341638681</v>
      </c>
      <c r="AK21" s="35" t="n">
        <f aca="false">AK17-AK18-AK19-AK20</f>
        <v>339222.50114036</v>
      </c>
      <c r="AL21" s="35" t="n">
        <f aca="false">AL17-AL18-AL19-AL20</f>
        <v>346371.351071939</v>
      </c>
    </row>
    <row r="22" customFormat="false" ht="15" hidden="false" customHeight="false" outlineLevel="0" collapsed="false">
      <c r="A22" s="6" t="s">
        <v>176</v>
      </c>
      <c r="B22" s="3" t="s">
        <v>82</v>
      </c>
      <c r="C22" s="17" t="n">
        <f aca="false">CHOOSE(C$6,Допущения!$C$38,Допущения!$C$39,Допущения!$C$40)/12</f>
        <v>0</v>
      </c>
      <c r="D22" s="17" t="n">
        <f aca="false">CHOOSE(D$6,Допущения!$C$38,Допущения!$C$39,Допущения!$C$40)/12</f>
        <v>0</v>
      </c>
      <c r="E22" s="17" t="n">
        <f aca="false">CHOOSE(E$6,Допущения!$C$38,Допущения!$C$39,Допущения!$C$40)/12</f>
        <v>0</v>
      </c>
      <c r="F22" s="17" t="n">
        <f aca="false">CHOOSE(F$6,Допущения!$C$38,Допущения!$C$39,Допущения!$C$40)/12</f>
        <v>0</v>
      </c>
      <c r="G22" s="17" t="n">
        <f aca="false">CHOOSE(G$6,Допущения!$C$38,Допущения!$C$39,Допущения!$C$40)/12</f>
        <v>0</v>
      </c>
      <c r="H22" s="17" t="n">
        <f aca="false">CHOOSE(H$6,Допущения!$C$38,Допущения!$C$39,Допущения!$C$40)/12</f>
        <v>0</v>
      </c>
      <c r="I22" s="17" t="n">
        <f aca="false">CHOOSE(I$6,Допущения!$C$38,Допущения!$C$39,Допущения!$C$40)/12</f>
        <v>0</v>
      </c>
      <c r="J22" s="17" t="n">
        <f aca="false">CHOOSE(J$6,Допущения!$C$38,Допущения!$C$39,Допущения!$C$40)/12</f>
        <v>0</v>
      </c>
      <c r="K22" s="17" t="n">
        <f aca="false">CHOOSE(K$6,Допущения!$C$38,Допущения!$C$39,Допущения!$C$40)/12</f>
        <v>0</v>
      </c>
      <c r="L22" s="17" t="n">
        <f aca="false">CHOOSE(L$6,Допущения!$C$38,Допущения!$C$39,Допущения!$C$40)/12</f>
        <v>0</v>
      </c>
      <c r="M22" s="17" t="n">
        <f aca="false">CHOOSE(M$6,Допущения!$C$38,Допущения!$C$39,Допущения!$C$40)/12</f>
        <v>0</v>
      </c>
      <c r="N22" s="17" t="n">
        <f aca="false">CHOOSE(N$6,Допущения!$C$38,Допущения!$C$39,Допущения!$C$40)/12</f>
        <v>0</v>
      </c>
      <c r="O22" s="17" t="n">
        <f aca="false">CHOOSE(O$6,Допущения!$C$38,Допущения!$C$39,Допущения!$C$40)/12</f>
        <v>0</v>
      </c>
      <c r="P22" s="17" t="n">
        <f aca="false">CHOOSE(P$6,Допущения!$C$38,Допущения!$C$39,Допущения!$C$40)/12</f>
        <v>0</v>
      </c>
      <c r="Q22" s="17" t="n">
        <f aca="false">CHOOSE(Q$6,Допущения!$C$38,Допущения!$C$39,Допущения!$C$40)/12</f>
        <v>0</v>
      </c>
      <c r="R22" s="17" t="n">
        <f aca="false">CHOOSE(R$6,Допущения!$C$38,Допущения!$C$39,Допущения!$C$40)/12</f>
        <v>0</v>
      </c>
      <c r="S22" s="17" t="n">
        <f aca="false">CHOOSE(S$6,Допущения!$C$38,Допущения!$C$39,Допущения!$C$40)/12</f>
        <v>0</v>
      </c>
      <c r="T22" s="17" t="n">
        <f aca="false">CHOOSE(T$6,Допущения!$C$38,Допущения!$C$39,Допущения!$C$40)/12</f>
        <v>0</v>
      </c>
      <c r="U22" s="17" t="n">
        <f aca="false">CHOOSE(U$6,Допущения!$C$38,Допущения!$C$39,Допущения!$C$40)/12</f>
        <v>0</v>
      </c>
      <c r="V22" s="17" t="n">
        <f aca="false">CHOOSE(V$6,Допущения!$C$38,Допущения!$C$39,Допущения!$C$40)/12</f>
        <v>0</v>
      </c>
      <c r="W22" s="17" t="n">
        <f aca="false">CHOOSE(W$6,Допущения!$C$38,Допущения!$C$39,Допущения!$C$40)/12</f>
        <v>0</v>
      </c>
      <c r="X22" s="17" t="n">
        <f aca="false">CHOOSE(X$6,Допущения!$C$38,Допущения!$C$39,Допущения!$C$40)/12</f>
        <v>0</v>
      </c>
      <c r="Y22" s="17" t="n">
        <f aca="false">CHOOSE(Y$6,Допущения!$C$38,Допущения!$C$39,Допущения!$C$40)/12</f>
        <v>0</v>
      </c>
      <c r="Z22" s="17" t="n">
        <f aca="false">CHOOSE(Z$6,Допущения!$C$38,Допущения!$C$39,Допущения!$C$40)/12</f>
        <v>0</v>
      </c>
      <c r="AA22" s="17" t="n">
        <f aca="false">CHOOSE(AA$6,Допущения!$C$38,Допущения!$C$39,Допущения!$C$40)/12</f>
        <v>0.0833333333333333</v>
      </c>
      <c r="AB22" s="17" t="n">
        <f aca="false">CHOOSE(AB$6,Допущения!$C$38,Допущения!$C$39,Допущения!$C$40)/12</f>
        <v>0.0833333333333333</v>
      </c>
      <c r="AC22" s="17" t="n">
        <f aca="false">CHOOSE(AC$6,Допущения!$C$38,Допущения!$C$39,Допущения!$C$40)/12</f>
        <v>0.0833333333333333</v>
      </c>
      <c r="AD22" s="17" t="n">
        <f aca="false">CHOOSE(AD$6,Допущения!$C$38,Допущения!$C$39,Допущения!$C$40)/12</f>
        <v>0.0833333333333333</v>
      </c>
      <c r="AE22" s="17" t="n">
        <f aca="false">CHOOSE(AE$6,Допущения!$C$38,Допущения!$C$39,Допущения!$C$40)/12</f>
        <v>0.0833333333333333</v>
      </c>
      <c r="AF22" s="17" t="n">
        <f aca="false">CHOOSE(AF$6,Допущения!$C$38,Допущения!$C$39,Допущения!$C$40)/12</f>
        <v>0.0833333333333333</v>
      </c>
      <c r="AG22" s="17" t="n">
        <f aca="false">CHOOSE(AG$6,Допущения!$C$38,Допущения!$C$39,Допущения!$C$40)/12</f>
        <v>0.0833333333333333</v>
      </c>
      <c r="AH22" s="17" t="n">
        <f aca="false">CHOOSE(AH$6,Допущения!$C$38,Допущения!$C$39,Допущения!$C$40)/12</f>
        <v>0.0833333333333333</v>
      </c>
      <c r="AI22" s="17" t="n">
        <f aca="false">CHOOSE(AI$6,Допущения!$C$38,Допущения!$C$39,Допущения!$C$40)/12</f>
        <v>0.0833333333333333</v>
      </c>
      <c r="AJ22" s="17" t="n">
        <f aca="false">CHOOSE(AJ$6,Допущения!$C$38,Допущения!$C$39,Допущения!$C$40)/12</f>
        <v>0.0833333333333333</v>
      </c>
      <c r="AK22" s="17" t="n">
        <f aca="false">CHOOSE(AK$6,Допущения!$C$38,Допущения!$C$39,Допущения!$C$40)/12</f>
        <v>0.0833333333333333</v>
      </c>
      <c r="AL22" s="17" t="n">
        <f aca="false">CHOOSE(AL$6,Допущения!$C$38,Допущения!$C$39,Допущения!$C$40)/12</f>
        <v>0.0833333333333333</v>
      </c>
    </row>
    <row r="23" customFormat="false" ht="15" hidden="false" customHeight="false" outlineLevel="0" collapsed="false">
      <c r="A23" s="6" t="s">
        <v>177</v>
      </c>
      <c r="B23" s="3" t="s">
        <v>82</v>
      </c>
      <c r="C23" s="14" t="n">
        <f aca="false">C22*Допущения!$C$41</f>
        <v>0</v>
      </c>
      <c r="D23" s="14" t="n">
        <f aca="false">D22*Допущения!$C$41</f>
        <v>0</v>
      </c>
      <c r="E23" s="14" t="n">
        <f aca="false">E22*Допущения!$C$41</f>
        <v>0</v>
      </c>
      <c r="F23" s="14" t="n">
        <f aca="false">F22*Допущения!$C$41</f>
        <v>0</v>
      </c>
      <c r="G23" s="14" t="n">
        <f aca="false">G22*Допущения!$C$41</f>
        <v>0</v>
      </c>
      <c r="H23" s="14" t="n">
        <f aca="false">H22*Допущения!$C$41</f>
        <v>0</v>
      </c>
      <c r="I23" s="14" t="n">
        <f aca="false">I22*Допущения!$C$41</f>
        <v>0</v>
      </c>
      <c r="J23" s="14" t="n">
        <f aca="false">J22*Допущения!$C$41</f>
        <v>0</v>
      </c>
      <c r="K23" s="14" t="n">
        <f aca="false">K22*Допущения!$C$41</f>
        <v>0</v>
      </c>
      <c r="L23" s="14" t="n">
        <f aca="false">L22*Допущения!$C$41</f>
        <v>0</v>
      </c>
      <c r="M23" s="14" t="n">
        <f aca="false">M22*Допущения!$C$41</f>
        <v>0</v>
      </c>
      <c r="N23" s="14" t="n">
        <f aca="false">N22*Допущения!$C$41</f>
        <v>0</v>
      </c>
      <c r="O23" s="14" t="n">
        <f aca="false">O22*Допущения!$C$41</f>
        <v>0</v>
      </c>
      <c r="P23" s="14" t="n">
        <f aca="false">P22*Допущения!$C$41</f>
        <v>0</v>
      </c>
      <c r="Q23" s="14" t="n">
        <f aca="false">Q22*Допущения!$C$41</f>
        <v>0</v>
      </c>
      <c r="R23" s="14" t="n">
        <f aca="false">R22*Допущения!$C$41</f>
        <v>0</v>
      </c>
      <c r="S23" s="14" t="n">
        <f aca="false">S22*Допущения!$C$41</f>
        <v>0</v>
      </c>
      <c r="T23" s="14" t="n">
        <f aca="false">T22*Допущения!$C$41</f>
        <v>0</v>
      </c>
      <c r="U23" s="14" t="n">
        <f aca="false">U22*Допущения!$C$41</f>
        <v>0</v>
      </c>
      <c r="V23" s="14" t="n">
        <f aca="false">V22*Допущения!$C$41</f>
        <v>0</v>
      </c>
      <c r="W23" s="14" t="n">
        <f aca="false">W22*Допущения!$C$41</f>
        <v>0</v>
      </c>
      <c r="X23" s="14" t="n">
        <f aca="false">X22*Допущения!$C$41</f>
        <v>0</v>
      </c>
      <c r="Y23" s="14" t="n">
        <f aca="false">Y22*Допущения!$C$41</f>
        <v>0</v>
      </c>
      <c r="Z23" s="14" t="n">
        <f aca="false">Z22*Допущения!$C$41</f>
        <v>0</v>
      </c>
      <c r="AA23" s="14" t="n">
        <f aca="false">AA22*Допущения!$C$41</f>
        <v>333.333333333333</v>
      </c>
      <c r="AB23" s="14" t="n">
        <f aca="false">AB22*Допущения!$C$41</f>
        <v>333.333333333333</v>
      </c>
      <c r="AC23" s="14" t="n">
        <f aca="false">AC22*Допущения!$C$41</f>
        <v>333.333333333333</v>
      </c>
      <c r="AD23" s="14" t="n">
        <f aca="false">AD22*Допущения!$C$41</f>
        <v>333.333333333333</v>
      </c>
      <c r="AE23" s="14" t="n">
        <f aca="false">AE22*Допущения!$C$41</f>
        <v>333.333333333333</v>
      </c>
      <c r="AF23" s="14" t="n">
        <f aca="false">AF22*Допущения!$C$41</f>
        <v>333.333333333333</v>
      </c>
      <c r="AG23" s="14" t="n">
        <f aca="false">AG22*Допущения!$C$41</f>
        <v>333.333333333333</v>
      </c>
      <c r="AH23" s="14" t="n">
        <f aca="false">AH22*Допущения!$C$41</f>
        <v>333.333333333333</v>
      </c>
      <c r="AI23" s="14" t="n">
        <f aca="false">AI22*Допущения!$C$41</f>
        <v>333.333333333333</v>
      </c>
      <c r="AJ23" s="14" t="n">
        <f aca="false">AJ22*Допущения!$C$41</f>
        <v>333.333333333333</v>
      </c>
      <c r="AK23" s="14" t="n">
        <f aca="false">AK22*Допущения!$C$41</f>
        <v>333.333333333333</v>
      </c>
      <c r="AL23" s="14" t="n">
        <f aca="false">AL22*Допущения!$C$41</f>
        <v>333.333333333333</v>
      </c>
    </row>
    <row r="24" customFormat="false" ht="15" hidden="false" customHeight="false" outlineLevel="0" collapsed="false">
      <c r="A24" s="6" t="s">
        <v>178</v>
      </c>
      <c r="B24" s="3" t="s">
        <v>82</v>
      </c>
      <c r="C24" s="14" t="n">
        <f aca="false">C23*(1-Допущения!$C$12)</f>
        <v>0</v>
      </c>
      <c r="D24" s="14" t="n">
        <f aca="false">D23*(1-Допущения!$C$12)</f>
        <v>0</v>
      </c>
      <c r="E24" s="14" t="n">
        <f aca="false">E23*(1-Допущения!$C$12)</f>
        <v>0</v>
      </c>
      <c r="F24" s="14" t="n">
        <f aca="false">F23*(1-Допущения!$C$12)</f>
        <v>0</v>
      </c>
      <c r="G24" s="14" t="n">
        <f aca="false">G23*(1-Допущения!$C$12)</f>
        <v>0</v>
      </c>
      <c r="H24" s="14" t="n">
        <f aca="false">H23*(1-Допущения!$C$12)</f>
        <v>0</v>
      </c>
      <c r="I24" s="14" t="n">
        <f aca="false">I23*(1-Допущения!$C$12)</f>
        <v>0</v>
      </c>
      <c r="J24" s="14" t="n">
        <f aca="false">J23*(1-Допущения!$C$12)</f>
        <v>0</v>
      </c>
      <c r="K24" s="14" t="n">
        <f aca="false">K23*(1-Допущения!$C$12)</f>
        <v>0</v>
      </c>
      <c r="L24" s="14" t="n">
        <f aca="false">L23*(1-Допущения!$C$12)</f>
        <v>0</v>
      </c>
      <c r="M24" s="14" t="n">
        <f aca="false">M23*(1-Допущения!$C$12)</f>
        <v>0</v>
      </c>
      <c r="N24" s="14" t="n">
        <f aca="false">N23*(1-Допущения!$C$12)</f>
        <v>0</v>
      </c>
      <c r="O24" s="14" t="n">
        <f aca="false">O23*(1-Допущения!$C$12)</f>
        <v>0</v>
      </c>
      <c r="P24" s="14" t="n">
        <f aca="false">P23*(1-Допущения!$C$12)</f>
        <v>0</v>
      </c>
      <c r="Q24" s="14" t="n">
        <f aca="false">Q23*(1-Допущения!$C$12)</f>
        <v>0</v>
      </c>
      <c r="R24" s="14" t="n">
        <f aca="false">R23*(1-Допущения!$C$12)</f>
        <v>0</v>
      </c>
      <c r="S24" s="14" t="n">
        <f aca="false">S23*(1-Допущения!$C$12)</f>
        <v>0</v>
      </c>
      <c r="T24" s="14" t="n">
        <f aca="false">T23*(1-Допущения!$C$12)</f>
        <v>0</v>
      </c>
      <c r="U24" s="14" t="n">
        <f aca="false">U23*(1-Допущения!$C$12)</f>
        <v>0</v>
      </c>
      <c r="V24" s="14" t="n">
        <f aca="false">V23*(1-Допущения!$C$12)</f>
        <v>0</v>
      </c>
      <c r="W24" s="14" t="n">
        <f aca="false">W23*(1-Допущения!$C$12)</f>
        <v>0</v>
      </c>
      <c r="X24" s="14" t="n">
        <f aca="false">X23*(1-Допущения!$C$12)</f>
        <v>0</v>
      </c>
      <c r="Y24" s="14" t="n">
        <f aca="false">Y23*(1-Допущения!$C$12)</f>
        <v>0</v>
      </c>
      <c r="Z24" s="14" t="n">
        <f aca="false">Z23*(1-Допущения!$C$12)</f>
        <v>0</v>
      </c>
      <c r="AA24" s="14" t="n">
        <f aca="false">AA23*(1-Допущения!$C$12)</f>
        <v>300</v>
      </c>
      <c r="AB24" s="14" t="n">
        <f aca="false">AB23*(1-Допущения!$C$12)</f>
        <v>300</v>
      </c>
      <c r="AC24" s="14" t="n">
        <f aca="false">AC23*(1-Допущения!$C$12)</f>
        <v>300</v>
      </c>
      <c r="AD24" s="14" t="n">
        <f aca="false">AD23*(1-Допущения!$C$12)</f>
        <v>300</v>
      </c>
      <c r="AE24" s="14" t="n">
        <f aca="false">AE23*(1-Допущения!$C$12)</f>
        <v>300</v>
      </c>
      <c r="AF24" s="14" t="n">
        <f aca="false">AF23*(1-Допущения!$C$12)</f>
        <v>300</v>
      </c>
      <c r="AG24" s="14" t="n">
        <f aca="false">AG23*(1-Допущения!$C$12)</f>
        <v>300</v>
      </c>
      <c r="AH24" s="14" t="n">
        <f aca="false">AH23*(1-Допущения!$C$12)</f>
        <v>300</v>
      </c>
      <c r="AI24" s="14" t="n">
        <f aca="false">AI23*(1-Допущения!$C$12)</f>
        <v>300</v>
      </c>
      <c r="AJ24" s="14" t="n">
        <f aca="false">AJ23*(1-Допущения!$C$12)</f>
        <v>300</v>
      </c>
      <c r="AK24" s="14" t="n">
        <f aca="false">AK23*(1-Допущения!$C$12)</f>
        <v>300</v>
      </c>
      <c r="AL24" s="14" t="n">
        <f aca="false">AL23*(1-Допущения!$C$12)</f>
        <v>300</v>
      </c>
    </row>
    <row r="25" customFormat="false" ht="15" hidden="false" customHeight="false" outlineLevel="0" collapsed="false">
      <c r="A25" s="6" t="s">
        <v>179</v>
      </c>
      <c r="B25" s="3" t="s">
        <v>85</v>
      </c>
      <c r="C25" s="14" t="n">
        <f aca="false">C24*Допущения!$C$42</f>
        <v>0</v>
      </c>
      <c r="D25" s="14" t="n">
        <f aca="false">D24*Допущения!$C$42</f>
        <v>0</v>
      </c>
      <c r="E25" s="14" t="n">
        <f aca="false">E24*Допущения!$C$42</f>
        <v>0</v>
      </c>
      <c r="F25" s="14" t="n">
        <f aca="false">F24*Допущения!$C$42</f>
        <v>0</v>
      </c>
      <c r="G25" s="14" t="n">
        <f aca="false">G24*Допущения!$C$42</f>
        <v>0</v>
      </c>
      <c r="H25" s="14" t="n">
        <f aca="false">H24*Допущения!$C$42</f>
        <v>0</v>
      </c>
      <c r="I25" s="14" t="n">
        <f aca="false">I24*Допущения!$C$42</f>
        <v>0</v>
      </c>
      <c r="J25" s="14" t="n">
        <f aca="false">J24*Допущения!$C$42</f>
        <v>0</v>
      </c>
      <c r="K25" s="14" t="n">
        <f aca="false">K24*Допущения!$C$42</f>
        <v>0</v>
      </c>
      <c r="L25" s="14" t="n">
        <f aca="false">L24*Допущения!$C$42</f>
        <v>0</v>
      </c>
      <c r="M25" s="14" t="n">
        <f aca="false">M24*Допущения!$C$42</f>
        <v>0</v>
      </c>
      <c r="N25" s="14" t="n">
        <f aca="false">N24*Допущения!$C$42</f>
        <v>0</v>
      </c>
      <c r="O25" s="14" t="n">
        <f aca="false">O24*Допущения!$C$42</f>
        <v>0</v>
      </c>
      <c r="P25" s="14" t="n">
        <f aca="false">P24*Допущения!$C$42</f>
        <v>0</v>
      </c>
      <c r="Q25" s="14" t="n">
        <f aca="false">Q24*Допущения!$C$42</f>
        <v>0</v>
      </c>
      <c r="R25" s="14" t="n">
        <f aca="false">R24*Допущения!$C$42</f>
        <v>0</v>
      </c>
      <c r="S25" s="14" t="n">
        <f aca="false">S24*Допущения!$C$42</f>
        <v>0</v>
      </c>
      <c r="T25" s="14" t="n">
        <f aca="false">T24*Допущения!$C$42</f>
        <v>0</v>
      </c>
      <c r="U25" s="14" t="n">
        <f aca="false">U24*Допущения!$C$42</f>
        <v>0</v>
      </c>
      <c r="V25" s="14" t="n">
        <f aca="false">V24*Допущения!$C$42</f>
        <v>0</v>
      </c>
      <c r="W25" s="14" t="n">
        <f aca="false">W24*Допущения!$C$42</f>
        <v>0</v>
      </c>
      <c r="X25" s="14" t="n">
        <f aca="false">X24*Допущения!$C$42</f>
        <v>0</v>
      </c>
      <c r="Y25" s="14" t="n">
        <f aca="false">Y24*Допущения!$C$42</f>
        <v>0</v>
      </c>
      <c r="Z25" s="14" t="n">
        <f aca="false">Z24*Допущения!$C$42</f>
        <v>0</v>
      </c>
      <c r="AA25" s="14" t="n">
        <f aca="false">AA24*Допущения!$C$42</f>
        <v>3600000</v>
      </c>
      <c r="AB25" s="14" t="n">
        <f aca="false">AB24*Допущения!$C$42</f>
        <v>3600000</v>
      </c>
      <c r="AC25" s="14" t="n">
        <f aca="false">AC24*Допущения!$C$42</f>
        <v>3600000</v>
      </c>
      <c r="AD25" s="14" t="n">
        <f aca="false">AD24*Допущения!$C$42</f>
        <v>3600000</v>
      </c>
      <c r="AE25" s="14" t="n">
        <f aca="false">AE24*Допущения!$C$42</f>
        <v>3600000</v>
      </c>
      <c r="AF25" s="14" t="n">
        <f aca="false">AF24*Допущения!$C$42</f>
        <v>3600000</v>
      </c>
      <c r="AG25" s="14" t="n">
        <f aca="false">AG24*Допущения!$C$42</f>
        <v>3600000</v>
      </c>
      <c r="AH25" s="14" t="n">
        <f aca="false">AH24*Допущения!$C$42</f>
        <v>3600000</v>
      </c>
      <c r="AI25" s="14" t="n">
        <f aca="false">AI24*Допущения!$C$42</f>
        <v>3600000</v>
      </c>
      <c r="AJ25" s="14" t="n">
        <f aca="false">AJ24*Допущения!$C$42</f>
        <v>3600000</v>
      </c>
      <c r="AK25" s="14" t="n">
        <f aca="false">AK24*Допущения!$C$42</f>
        <v>3600000</v>
      </c>
      <c r="AL25" s="14" t="n">
        <f aca="false">AL24*Допущения!$C$42</f>
        <v>3600000</v>
      </c>
    </row>
    <row r="26" customFormat="false" ht="15" hidden="false" customHeight="false" outlineLevel="0" collapsed="false">
      <c r="A26" s="6" t="s">
        <v>180</v>
      </c>
      <c r="B26" s="3" t="s">
        <v>85</v>
      </c>
      <c r="C26" s="14" t="n">
        <f aca="false">C25*(Допущения!$C$6+Допущения!$C$7)*(1-Допущения!$C$13)</f>
        <v>0</v>
      </c>
      <c r="D26" s="14" t="n">
        <f aca="false">D25*(Допущения!$C$6+Допущения!$C$7)*(1-Допущения!$C$13)</f>
        <v>0</v>
      </c>
      <c r="E26" s="14" t="n">
        <f aca="false">E25*(Допущения!$C$6+Допущения!$C$7)*(1-Допущения!$C$13)</f>
        <v>0</v>
      </c>
      <c r="F26" s="14" t="n">
        <f aca="false">F25*(Допущения!$C$6+Допущения!$C$7)*(1-Допущения!$C$13)</f>
        <v>0</v>
      </c>
      <c r="G26" s="14" t="n">
        <f aca="false">G25*(Допущения!$C$6+Допущения!$C$7)*(1-Допущения!$C$13)</f>
        <v>0</v>
      </c>
      <c r="H26" s="14" t="n">
        <f aca="false">H25*(Допущения!$C$6+Допущения!$C$7)*(1-Допущения!$C$13)</f>
        <v>0</v>
      </c>
      <c r="I26" s="14" t="n">
        <f aca="false">I25*(Допущения!$C$6+Допущения!$C$7)*(1-Допущения!$C$13)</f>
        <v>0</v>
      </c>
      <c r="J26" s="14" t="n">
        <f aca="false">J25*(Допущения!$C$6+Допущения!$C$7)*(1-Допущения!$C$13)</f>
        <v>0</v>
      </c>
      <c r="K26" s="14" t="n">
        <f aca="false">K25*(Допущения!$C$6+Допущения!$C$7)*(1-Допущения!$C$13)</f>
        <v>0</v>
      </c>
      <c r="L26" s="14" t="n">
        <f aca="false">L25*(Допущения!$C$6+Допущения!$C$7)*(1-Допущения!$C$13)</f>
        <v>0</v>
      </c>
      <c r="M26" s="14" t="n">
        <f aca="false">M25*(Допущения!$C$6+Допущения!$C$7)*(1-Допущения!$C$13)</f>
        <v>0</v>
      </c>
      <c r="N26" s="14" t="n">
        <f aca="false">N25*(Допущения!$C$6+Допущения!$C$7)*(1-Допущения!$C$13)</f>
        <v>0</v>
      </c>
      <c r="O26" s="14" t="n">
        <f aca="false">O25*(Допущения!$C$6+Допущения!$C$7)*(1-Допущения!$C$13)</f>
        <v>0</v>
      </c>
      <c r="P26" s="14" t="n">
        <f aca="false">P25*(Допущения!$C$6+Допущения!$C$7)*(1-Допущения!$C$13)</f>
        <v>0</v>
      </c>
      <c r="Q26" s="14" t="n">
        <f aca="false">Q25*(Допущения!$C$6+Допущения!$C$7)*(1-Допущения!$C$13)</f>
        <v>0</v>
      </c>
      <c r="R26" s="14" t="n">
        <f aca="false">R25*(Допущения!$C$6+Допущения!$C$7)*(1-Допущения!$C$13)</f>
        <v>0</v>
      </c>
      <c r="S26" s="14" t="n">
        <f aca="false">S25*(Допущения!$C$6+Допущения!$C$7)*(1-Допущения!$C$13)</f>
        <v>0</v>
      </c>
      <c r="T26" s="14" t="n">
        <f aca="false">T25*(Допущения!$C$6+Допущения!$C$7)*(1-Допущения!$C$13)</f>
        <v>0</v>
      </c>
      <c r="U26" s="14" t="n">
        <f aca="false">U25*(Допущения!$C$6+Допущения!$C$7)*(1-Допущения!$C$13)</f>
        <v>0</v>
      </c>
      <c r="V26" s="14" t="n">
        <f aca="false">V25*(Допущения!$C$6+Допущения!$C$7)*(1-Допущения!$C$13)</f>
        <v>0</v>
      </c>
      <c r="W26" s="14" t="n">
        <f aca="false">W25*(Допущения!$C$6+Допущения!$C$7)*(1-Допущения!$C$13)</f>
        <v>0</v>
      </c>
      <c r="X26" s="14" t="n">
        <f aca="false">X25*(Допущения!$C$6+Допущения!$C$7)*(1-Допущения!$C$13)</f>
        <v>0</v>
      </c>
      <c r="Y26" s="14" t="n">
        <f aca="false">Y25*(Допущения!$C$6+Допущения!$C$7)*(1-Допущения!$C$13)</f>
        <v>0</v>
      </c>
      <c r="Z26" s="14" t="n">
        <f aca="false">Z25*(Допущения!$C$6+Допущения!$C$7)*(1-Допущения!$C$13)</f>
        <v>0</v>
      </c>
      <c r="AA26" s="14" t="n">
        <f aca="false">AA25*(Допущения!$C$6+Допущения!$C$7)*(1-Допущения!$C$13)</f>
        <v>174600</v>
      </c>
      <c r="AB26" s="14" t="n">
        <f aca="false">AB25*(Допущения!$C$6+Допущения!$C$7)*(1-Допущения!$C$13)</f>
        <v>174600</v>
      </c>
      <c r="AC26" s="14" t="n">
        <f aca="false">AC25*(Допущения!$C$6+Допущения!$C$7)*(1-Допущения!$C$13)</f>
        <v>174600</v>
      </c>
      <c r="AD26" s="14" t="n">
        <f aca="false">AD25*(Допущения!$C$6+Допущения!$C$7)*(1-Допущения!$C$13)</f>
        <v>174600</v>
      </c>
      <c r="AE26" s="14" t="n">
        <f aca="false">AE25*(Допущения!$C$6+Допущения!$C$7)*(1-Допущения!$C$13)</f>
        <v>174600</v>
      </c>
      <c r="AF26" s="14" t="n">
        <f aca="false">AF25*(Допущения!$C$6+Допущения!$C$7)*(1-Допущения!$C$13)</f>
        <v>174600</v>
      </c>
      <c r="AG26" s="14" t="n">
        <f aca="false">AG25*(Допущения!$C$6+Допущения!$C$7)*(1-Допущения!$C$13)</f>
        <v>174600</v>
      </c>
      <c r="AH26" s="14" t="n">
        <f aca="false">AH25*(Допущения!$C$6+Допущения!$C$7)*(1-Допущения!$C$13)</f>
        <v>174600</v>
      </c>
      <c r="AI26" s="14" t="n">
        <f aca="false">AI25*(Допущения!$C$6+Допущения!$C$7)*(1-Допущения!$C$13)</f>
        <v>174600</v>
      </c>
      <c r="AJ26" s="14" t="n">
        <f aca="false">AJ25*(Допущения!$C$6+Допущения!$C$7)*(1-Допущения!$C$13)</f>
        <v>174600</v>
      </c>
      <c r="AK26" s="14" t="n">
        <f aca="false">AK25*(Допущения!$C$6+Допущения!$C$7)*(1-Допущения!$C$13)</f>
        <v>174600</v>
      </c>
      <c r="AL26" s="14" t="n">
        <f aca="false">AL25*(Допущения!$C$6+Допущения!$C$7)*(1-Допущения!$C$13)</f>
        <v>174600</v>
      </c>
    </row>
    <row r="27" customFormat="false" ht="15" hidden="false" customHeight="false" outlineLevel="0" collapsed="false">
      <c r="A27" s="6" t="s">
        <v>181</v>
      </c>
      <c r="B27" s="3" t="s">
        <v>85</v>
      </c>
      <c r="C27" s="14" t="n">
        <f aca="false">C25*(1+Допущения!$C$6)*Допущения!$C$23</f>
        <v>0</v>
      </c>
      <c r="D27" s="14" t="n">
        <f aca="false">D25*(1+Допущения!$C$6)*Допущения!$C$23</f>
        <v>0</v>
      </c>
      <c r="E27" s="14" t="n">
        <f aca="false">E25*(1+Допущения!$C$6)*Допущения!$C$23</f>
        <v>0</v>
      </c>
      <c r="F27" s="14" t="n">
        <f aca="false">F25*(1+Допущения!$C$6)*Допущения!$C$23</f>
        <v>0</v>
      </c>
      <c r="G27" s="14" t="n">
        <f aca="false">G25*(1+Допущения!$C$6)*Допущения!$C$23</f>
        <v>0</v>
      </c>
      <c r="H27" s="14" t="n">
        <f aca="false">H25*(1+Допущения!$C$6)*Допущения!$C$23</f>
        <v>0</v>
      </c>
      <c r="I27" s="14" t="n">
        <f aca="false">I25*(1+Допущения!$C$6)*Допущения!$C$23</f>
        <v>0</v>
      </c>
      <c r="J27" s="14" t="n">
        <f aca="false">J25*(1+Допущения!$C$6)*Допущения!$C$23</f>
        <v>0</v>
      </c>
      <c r="K27" s="14" t="n">
        <f aca="false">K25*(1+Допущения!$C$6)*Допущения!$C$23</f>
        <v>0</v>
      </c>
      <c r="L27" s="14" t="n">
        <f aca="false">L25*(1+Допущения!$C$6)*Допущения!$C$23</f>
        <v>0</v>
      </c>
      <c r="M27" s="14" t="n">
        <f aca="false">M25*(1+Допущения!$C$6)*Допущения!$C$23</f>
        <v>0</v>
      </c>
      <c r="N27" s="14" t="n">
        <f aca="false">N25*(1+Допущения!$C$6)*Допущения!$C$23</f>
        <v>0</v>
      </c>
      <c r="O27" s="14" t="n">
        <f aca="false">O25*(1+Допущения!$C$6)*Допущения!$C$23</f>
        <v>0</v>
      </c>
      <c r="P27" s="14" t="n">
        <f aca="false">P25*(1+Допущения!$C$6)*Допущения!$C$23</f>
        <v>0</v>
      </c>
      <c r="Q27" s="14" t="n">
        <f aca="false">Q25*(1+Допущения!$C$6)*Допущения!$C$23</f>
        <v>0</v>
      </c>
      <c r="R27" s="14" t="n">
        <f aca="false">R25*(1+Допущения!$C$6)*Допущения!$C$23</f>
        <v>0</v>
      </c>
      <c r="S27" s="14" t="n">
        <f aca="false">S25*(1+Допущения!$C$6)*Допущения!$C$23</f>
        <v>0</v>
      </c>
      <c r="T27" s="14" t="n">
        <f aca="false">T25*(1+Допущения!$C$6)*Допущения!$C$23</f>
        <v>0</v>
      </c>
      <c r="U27" s="14" t="n">
        <f aca="false">U25*(1+Допущения!$C$6)*Допущения!$C$23</f>
        <v>0</v>
      </c>
      <c r="V27" s="14" t="n">
        <f aca="false">V25*(1+Допущения!$C$6)*Допущения!$C$23</f>
        <v>0</v>
      </c>
      <c r="W27" s="14" t="n">
        <f aca="false">W25*(1+Допущения!$C$6)*Допущения!$C$23</f>
        <v>0</v>
      </c>
      <c r="X27" s="14" t="n">
        <f aca="false">X25*(1+Допущения!$C$6)*Допущения!$C$23</f>
        <v>0</v>
      </c>
      <c r="Y27" s="14" t="n">
        <f aca="false">Y25*(1+Допущения!$C$6)*Допущения!$C$23</f>
        <v>0</v>
      </c>
      <c r="Z27" s="14" t="n">
        <f aca="false">Z25*(1+Допущения!$C$6)*Допущения!$C$23</f>
        <v>0</v>
      </c>
      <c r="AA27" s="14" t="n">
        <f aca="false">AA25*(1+Допущения!$C$6)*Допущения!$C$23</f>
        <v>94500</v>
      </c>
      <c r="AB27" s="14" t="n">
        <f aca="false">AB25*(1+Допущения!$C$6)*Допущения!$C$23</f>
        <v>94500</v>
      </c>
      <c r="AC27" s="14" t="n">
        <f aca="false">AC25*(1+Допущения!$C$6)*Допущения!$C$23</f>
        <v>94500</v>
      </c>
      <c r="AD27" s="14" t="n">
        <f aca="false">AD25*(1+Допущения!$C$6)*Допущения!$C$23</f>
        <v>94500</v>
      </c>
      <c r="AE27" s="14" t="n">
        <f aca="false">AE25*(1+Допущения!$C$6)*Допущения!$C$23</f>
        <v>94500</v>
      </c>
      <c r="AF27" s="14" t="n">
        <f aca="false">AF25*(1+Допущения!$C$6)*Допущения!$C$23</f>
        <v>94500</v>
      </c>
      <c r="AG27" s="14" t="n">
        <f aca="false">AG25*(1+Допущения!$C$6)*Допущения!$C$23</f>
        <v>94500</v>
      </c>
      <c r="AH27" s="14" t="n">
        <f aca="false">AH25*(1+Допущения!$C$6)*Допущения!$C$23</f>
        <v>94500</v>
      </c>
      <c r="AI27" s="14" t="n">
        <f aca="false">AI25*(1+Допущения!$C$6)*Допущения!$C$23</f>
        <v>94500</v>
      </c>
      <c r="AJ27" s="14" t="n">
        <f aca="false">AJ25*(1+Допущения!$C$6)*Допущения!$C$23</f>
        <v>94500</v>
      </c>
      <c r="AK27" s="14" t="n">
        <f aca="false">AK25*(1+Допущения!$C$6)*Допущения!$C$23</f>
        <v>94500</v>
      </c>
      <c r="AL27" s="14" t="n">
        <f aca="false">AL25*(1+Допущения!$C$6)*Допущения!$C$23</f>
        <v>94500</v>
      </c>
    </row>
    <row r="28" customFormat="false" ht="15" hidden="false" customHeight="false" outlineLevel="0" collapsed="false">
      <c r="A28" s="6" t="s">
        <v>182</v>
      </c>
      <c r="B28" s="3" t="s">
        <v>85</v>
      </c>
      <c r="C28" s="14" t="n">
        <f aca="false">C23/Допущения!$C$9*Допущения!$C$10+C23*Допущения!$C$11</f>
        <v>0</v>
      </c>
      <c r="D28" s="14" t="n">
        <f aca="false">D23/Допущения!$C$9*Допущения!$C$10+D23*Допущения!$C$11</f>
        <v>0</v>
      </c>
      <c r="E28" s="14" t="n">
        <f aca="false">E23/Допущения!$C$9*Допущения!$C$10+E23*Допущения!$C$11</f>
        <v>0</v>
      </c>
      <c r="F28" s="14" t="n">
        <f aca="false">F23/Допущения!$C$9*Допущения!$C$10+F23*Допущения!$C$11</f>
        <v>0</v>
      </c>
      <c r="G28" s="14" t="n">
        <f aca="false">G23/Допущения!$C$9*Допущения!$C$10+G23*Допущения!$C$11</f>
        <v>0</v>
      </c>
      <c r="H28" s="14" t="n">
        <f aca="false">H23/Допущения!$C$9*Допущения!$C$10+H23*Допущения!$C$11</f>
        <v>0</v>
      </c>
      <c r="I28" s="14" t="n">
        <f aca="false">I23/Допущения!$C$9*Допущения!$C$10+I23*Допущения!$C$11</f>
        <v>0</v>
      </c>
      <c r="J28" s="14" t="n">
        <f aca="false">J23/Допущения!$C$9*Допущения!$C$10+J23*Допущения!$C$11</f>
        <v>0</v>
      </c>
      <c r="K28" s="14" t="n">
        <f aca="false">K23/Допущения!$C$9*Допущения!$C$10+K23*Допущения!$C$11</f>
        <v>0</v>
      </c>
      <c r="L28" s="14" t="n">
        <f aca="false">L23/Допущения!$C$9*Допущения!$C$10+L23*Допущения!$C$11</f>
        <v>0</v>
      </c>
      <c r="M28" s="14" t="n">
        <f aca="false">M23/Допущения!$C$9*Допущения!$C$10+M23*Допущения!$C$11</f>
        <v>0</v>
      </c>
      <c r="N28" s="14" t="n">
        <f aca="false">N23/Допущения!$C$9*Допущения!$C$10+N23*Допущения!$C$11</f>
        <v>0</v>
      </c>
      <c r="O28" s="14" t="n">
        <f aca="false">O23/Допущения!$C$9*Допущения!$C$10+O23*Допущения!$C$11</f>
        <v>0</v>
      </c>
      <c r="P28" s="14" t="n">
        <f aca="false">P23/Допущения!$C$9*Допущения!$C$10+P23*Допущения!$C$11</f>
        <v>0</v>
      </c>
      <c r="Q28" s="14" t="n">
        <f aca="false">Q23/Допущения!$C$9*Допущения!$C$10+Q23*Допущения!$C$11</f>
        <v>0</v>
      </c>
      <c r="R28" s="14" t="n">
        <f aca="false">R23/Допущения!$C$9*Допущения!$C$10+R23*Допущения!$C$11</f>
        <v>0</v>
      </c>
      <c r="S28" s="14" t="n">
        <f aca="false">S23/Допущения!$C$9*Допущения!$C$10+S23*Допущения!$C$11</f>
        <v>0</v>
      </c>
      <c r="T28" s="14" t="n">
        <f aca="false">T23/Допущения!$C$9*Допущения!$C$10+T23*Допущения!$C$11</f>
        <v>0</v>
      </c>
      <c r="U28" s="14" t="n">
        <f aca="false">U23/Допущения!$C$9*Допущения!$C$10+U23*Допущения!$C$11</f>
        <v>0</v>
      </c>
      <c r="V28" s="14" t="n">
        <f aca="false">V23/Допущения!$C$9*Допущения!$C$10+V23*Допущения!$C$11</f>
        <v>0</v>
      </c>
      <c r="W28" s="14" t="n">
        <f aca="false">W23/Допущения!$C$9*Допущения!$C$10+W23*Допущения!$C$11</f>
        <v>0</v>
      </c>
      <c r="X28" s="14" t="n">
        <f aca="false">X23/Допущения!$C$9*Допущения!$C$10+X23*Допущения!$C$11</f>
        <v>0</v>
      </c>
      <c r="Y28" s="14" t="n">
        <f aca="false">Y23/Допущения!$C$9*Допущения!$C$10+Y23*Допущения!$C$11</f>
        <v>0</v>
      </c>
      <c r="Z28" s="14" t="n">
        <f aca="false">Z23/Допущения!$C$9*Допущения!$C$10+Z23*Допущения!$C$11</f>
        <v>0</v>
      </c>
      <c r="AA28" s="14" t="n">
        <f aca="false">AA23/Допущения!$C$9*Допущения!$C$10+AA23*Допущения!$C$11</f>
        <v>5000</v>
      </c>
      <c r="AB28" s="14" t="n">
        <f aca="false">AB23/Допущения!$C$9*Допущения!$C$10+AB23*Допущения!$C$11</f>
        <v>5000</v>
      </c>
      <c r="AC28" s="14" t="n">
        <f aca="false">AC23/Допущения!$C$9*Допущения!$C$10+AC23*Допущения!$C$11</f>
        <v>5000</v>
      </c>
      <c r="AD28" s="14" t="n">
        <f aca="false">AD23/Допущения!$C$9*Допущения!$C$10+AD23*Допущения!$C$11</f>
        <v>5000</v>
      </c>
      <c r="AE28" s="14" t="n">
        <f aca="false">AE23/Допущения!$C$9*Допущения!$C$10+AE23*Допущения!$C$11</f>
        <v>5000</v>
      </c>
      <c r="AF28" s="14" t="n">
        <f aca="false">AF23/Допущения!$C$9*Допущения!$C$10+AF23*Допущения!$C$11</f>
        <v>5000</v>
      </c>
      <c r="AG28" s="14" t="n">
        <f aca="false">AG23/Допущения!$C$9*Допущения!$C$10+AG23*Допущения!$C$11</f>
        <v>5000</v>
      </c>
      <c r="AH28" s="14" t="n">
        <f aca="false">AH23/Допущения!$C$9*Допущения!$C$10+AH23*Допущения!$C$11</f>
        <v>5000</v>
      </c>
      <c r="AI28" s="14" t="n">
        <f aca="false">AI23/Допущения!$C$9*Допущения!$C$10+AI23*Допущения!$C$11</f>
        <v>5000</v>
      </c>
      <c r="AJ28" s="14" t="n">
        <f aca="false">AJ23/Допущения!$C$9*Допущения!$C$10+AJ23*Допущения!$C$11</f>
        <v>5000</v>
      </c>
      <c r="AK28" s="14" t="n">
        <f aca="false">AK23/Допущения!$C$9*Допущения!$C$10+AK23*Допущения!$C$11</f>
        <v>5000</v>
      </c>
      <c r="AL28" s="14" t="n">
        <f aca="false">AL23/Допущения!$C$9*Допущения!$C$10+AL23*Допущения!$C$11</f>
        <v>5000</v>
      </c>
    </row>
    <row r="29" customFormat="false" ht="15" hidden="false" customHeight="false" outlineLevel="0" collapsed="false">
      <c r="A29" s="6" t="s">
        <v>183</v>
      </c>
      <c r="B29" s="3" t="s">
        <v>85</v>
      </c>
      <c r="C29" s="14" t="n">
        <f aca="false">C26*Допущения!$C$8</f>
        <v>0</v>
      </c>
      <c r="D29" s="14" t="n">
        <f aca="false">D26*Допущения!$C$8</f>
        <v>0</v>
      </c>
      <c r="E29" s="14" t="n">
        <f aca="false">E26*Допущения!$C$8</f>
        <v>0</v>
      </c>
      <c r="F29" s="14" t="n">
        <f aca="false">F26*Допущения!$C$8</f>
        <v>0</v>
      </c>
      <c r="G29" s="14" t="n">
        <f aca="false">G26*Допущения!$C$8</f>
        <v>0</v>
      </c>
      <c r="H29" s="14" t="n">
        <f aca="false">H26*Допущения!$C$8</f>
        <v>0</v>
      </c>
      <c r="I29" s="14" t="n">
        <f aca="false">I26*Допущения!$C$8</f>
        <v>0</v>
      </c>
      <c r="J29" s="14" t="n">
        <f aca="false">J26*Допущения!$C$8</f>
        <v>0</v>
      </c>
      <c r="K29" s="14" t="n">
        <f aca="false">K26*Допущения!$C$8</f>
        <v>0</v>
      </c>
      <c r="L29" s="14" t="n">
        <f aca="false">L26*Допущения!$C$8</f>
        <v>0</v>
      </c>
      <c r="M29" s="14" t="n">
        <f aca="false">M26*Допущения!$C$8</f>
        <v>0</v>
      </c>
      <c r="N29" s="14" t="n">
        <f aca="false">N26*Допущения!$C$8</f>
        <v>0</v>
      </c>
      <c r="O29" s="14" t="n">
        <f aca="false">O26*Допущения!$C$8</f>
        <v>0</v>
      </c>
      <c r="P29" s="14" t="n">
        <f aca="false">P26*Допущения!$C$8</f>
        <v>0</v>
      </c>
      <c r="Q29" s="14" t="n">
        <f aca="false">Q26*Допущения!$C$8</f>
        <v>0</v>
      </c>
      <c r="R29" s="14" t="n">
        <f aca="false">R26*Допущения!$C$8</f>
        <v>0</v>
      </c>
      <c r="S29" s="14" t="n">
        <f aca="false">S26*Допущения!$C$8</f>
        <v>0</v>
      </c>
      <c r="T29" s="14" t="n">
        <f aca="false">T26*Допущения!$C$8</f>
        <v>0</v>
      </c>
      <c r="U29" s="14" t="n">
        <f aca="false">U26*Допущения!$C$8</f>
        <v>0</v>
      </c>
      <c r="V29" s="14" t="n">
        <f aca="false">V26*Допущения!$C$8</f>
        <v>0</v>
      </c>
      <c r="W29" s="14" t="n">
        <f aca="false">W26*Допущения!$C$8</f>
        <v>0</v>
      </c>
      <c r="X29" s="14" t="n">
        <f aca="false">X26*Допущения!$C$8</f>
        <v>0</v>
      </c>
      <c r="Y29" s="14" t="n">
        <f aca="false">Y26*Допущения!$C$8</f>
        <v>0</v>
      </c>
      <c r="Z29" s="14" t="n">
        <f aca="false">Z26*Допущения!$C$8</f>
        <v>0</v>
      </c>
      <c r="AA29" s="14" t="n">
        <f aca="false">AA26*Допущения!$C$8</f>
        <v>6984</v>
      </c>
      <c r="AB29" s="14" t="n">
        <f aca="false">AB26*Допущения!$C$8</f>
        <v>6984</v>
      </c>
      <c r="AC29" s="14" t="n">
        <f aca="false">AC26*Допущения!$C$8</f>
        <v>6984</v>
      </c>
      <c r="AD29" s="14" t="n">
        <f aca="false">AD26*Допущения!$C$8</f>
        <v>6984</v>
      </c>
      <c r="AE29" s="14" t="n">
        <f aca="false">AE26*Допущения!$C$8</f>
        <v>6984</v>
      </c>
      <c r="AF29" s="14" t="n">
        <f aca="false">AF26*Допущения!$C$8</f>
        <v>6984</v>
      </c>
      <c r="AG29" s="14" t="n">
        <f aca="false">AG26*Допущения!$C$8</f>
        <v>6984</v>
      </c>
      <c r="AH29" s="14" t="n">
        <f aca="false">AH26*Допущения!$C$8</f>
        <v>6984</v>
      </c>
      <c r="AI29" s="14" t="n">
        <f aca="false">AI26*Допущения!$C$8</f>
        <v>6984</v>
      </c>
      <c r="AJ29" s="14" t="n">
        <f aca="false">AJ26*Допущения!$C$8</f>
        <v>6984</v>
      </c>
      <c r="AK29" s="14" t="n">
        <f aca="false">AK26*Допущения!$C$8</f>
        <v>6984</v>
      </c>
      <c r="AL29" s="14" t="n">
        <f aca="false">AL26*Допущения!$C$8</f>
        <v>6984</v>
      </c>
    </row>
    <row r="30" customFormat="false" ht="15" hidden="false" customHeight="false" outlineLevel="0" collapsed="false">
      <c r="A30" s="33" t="s">
        <v>184</v>
      </c>
      <c r="B30" s="34" t="s">
        <v>85</v>
      </c>
      <c r="C30" s="35" t="n">
        <f aca="false">C26-C27-C28-C29</f>
        <v>0</v>
      </c>
      <c r="D30" s="35" t="n">
        <f aca="false">D26-D27-D28-D29</f>
        <v>0</v>
      </c>
      <c r="E30" s="35" t="n">
        <f aca="false">E26-E27-E28-E29</f>
        <v>0</v>
      </c>
      <c r="F30" s="35" t="n">
        <f aca="false">F26-F27-F28-F29</f>
        <v>0</v>
      </c>
      <c r="G30" s="35" t="n">
        <f aca="false">G26-G27-G28-G29</f>
        <v>0</v>
      </c>
      <c r="H30" s="35" t="n">
        <f aca="false">H26-H27-H28-H29</f>
        <v>0</v>
      </c>
      <c r="I30" s="35" t="n">
        <f aca="false">I26-I27-I28-I29</f>
        <v>0</v>
      </c>
      <c r="J30" s="35" t="n">
        <f aca="false">J26-J27-J28-J29</f>
        <v>0</v>
      </c>
      <c r="K30" s="35" t="n">
        <f aca="false">K26-K27-K28-K29</f>
        <v>0</v>
      </c>
      <c r="L30" s="35" t="n">
        <f aca="false">L26-L27-L28-L29</f>
        <v>0</v>
      </c>
      <c r="M30" s="35" t="n">
        <f aca="false">M26-M27-M28-M29</f>
        <v>0</v>
      </c>
      <c r="N30" s="35" t="n">
        <f aca="false">N26-N27-N28-N29</f>
        <v>0</v>
      </c>
      <c r="O30" s="35" t="n">
        <f aca="false">O26-O27-O28-O29</f>
        <v>0</v>
      </c>
      <c r="P30" s="35" t="n">
        <f aca="false">P26-P27-P28-P29</f>
        <v>0</v>
      </c>
      <c r="Q30" s="35" t="n">
        <f aca="false">Q26-Q27-Q28-Q29</f>
        <v>0</v>
      </c>
      <c r="R30" s="35" t="n">
        <f aca="false">R26-R27-R28-R29</f>
        <v>0</v>
      </c>
      <c r="S30" s="35" t="n">
        <f aca="false">S26-S27-S28-S29</f>
        <v>0</v>
      </c>
      <c r="T30" s="35" t="n">
        <f aca="false">T26-T27-T28-T29</f>
        <v>0</v>
      </c>
      <c r="U30" s="35" t="n">
        <f aca="false">U26-U27-U28-U29</f>
        <v>0</v>
      </c>
      <c r="V30" s="35" t="n">
        <f aca="false">V26-V27-V28-V29</f>
        <v>0</v>
      </c>
      <c r="W30" s="35" t="n">
        <f aca="false">W26-W27-W28-W29</f>
        <v>0</v>
      </c>
      <c r="X30" s="35" t="n">
        <f aca="false">X26-X27-X28-X29</f>
        <v>0</v>
      </c>
      <c r="Y30" s="35" t="n">
        <f aca="false">Y26-Y27-Y28-Y29</f>
        <v>0</v>
      </c>
      <c r="Z30" s="35" t="n">
        <f aca="false">Z26-Z27-Z28-Z29</f>
        <v>0</v>
      </c>
      <c r="AA30" s="35" t="n">
        <f aca="false">AA26-AA27-AA28-AA29</f>
        <v>68116</v>
      </c>
      <c r="AB30" s="35" t="n">
        <f aca="false">AB26-AB27-AB28-AB29</f>
        <v>68116</v>
      </c>
      <c r="AC30" s="35" t="n">
        <f aca="false">AC26-AC27-AC28-AC29</f>
        <v>68116</v>
      </c>
      <c r="AD30" s="35" t="n">
        <f aca="false">AD26-AD27-AD28-AD29</f>
        <v>68116</v>
      </c>
      <c r="AE30" s="35" t="n">
        <f aca="false">AE26-AE27-AE28-AE29</f>
        <v>68116</v>
      </c>
      <c r="AF30" s="35" t="n">
        <f aca="false">AF26-AF27-AF28-AF29</f>
        <v>68116</v>
      </c>
      <c r="AG30" s="35" t="n">
        <f aca="false">AG26-AG27-AG28-AG29</f>
        <v>68116</v>
      </c>
      <c r="AH30" s="35" t="n">
        <f aca="false">AH26-AH27-AH28-AH29</f>
        <v>68116</v>
      </c>
      <c r="AI30" s="35" t="n">
        <f aca="false">AI26-AI27-AI28-AI29</f>
        <v>68116</v>
      </c>
      <c r="AJ30" s="35" t="n">
        <f aca="false">AJ26-AJ27-AJ28-AJ29</f>
        <v>68116</v>
      </c>
      <c r="AK30" s="35" t="n">
        <f aca="false">AK26-AK27-AK28-AK29</f>
        <v>68116</v>
      </c>
      <c r="AL30" s="35" t="n">
        <f aca="false">AL26-AL27-AL28-AL29</f>
        <v>68116</v>
      </c>
    </row>
    <row r="31" customFormat="false" ht="15" hidden="false" customHeight="false" outlineLevel="0" collapsed="false">
      <c r="A31" s="6" t="s">
        <v>185</v>
      </c>
      <c r="B31" s="3" t="s">
        <v>85</v>
      </c>
      <c r="C31" s="14" t="n">
        <f aca="false">C22*Допущения!$C$43</f>
        <v>0</v>
      </c>
      <c r="D31" s="14" t="n">
        <f aca="false">D22*Допущения!$C$43</f>
        <v>0</v>
      </c>
      <c r="E31" s="14" t="n">
        <f aca="false">E22*Допущения!$C$43</f>
        <v>0</v>
      </c>
      <c r="F31" s="14" t="n">
        <f aca="false">F22*Допущения!$C$43</f>
        <v>0</v>
      </c>
      <c r="G31" s="14" t="n">
        <f aca="false">G22*Допущения!$C$43</f>
        <v>0</v>
      </c>
      <c r="H31" s="14" t="n">
        <f aca="false">H22*Допущения!$C$43</f>
        <v>0</v>
      </c>
      <c r="I31" s="14" t="n">
        <f aca="false">I22*Допущения!$C$43</f>
        <v>0</v>
      </c>
      <c r="J31" s="14" t="n">
        <f aca="false">J22*Допущения!$C$43</f>
        <v>0</v>
      </c>
      <c r="K31" s="14" t="n">
        <f aca="false">K22*Допущения!$C$43</f>
        <v>0</v>
      </c>
      <c r="L31" s="14" t="n">
        <f aca="false">L22*Допущения!$C$43</f>
        <v>0</v>
      </c>
      <c r="M31" s="14" t="n">
        <f aca="false">M22*Допущения!$C$43</f>
        <v>0</v>
      </c>
      <c r="N31" s="14" t="n">
        <f aca="false">N22*Допущения!$C$43</f>
        <v>0</v>
      </c>
      <c r="O31" s="14" t="n">
        <f aca="false">O22*Допущения!$C$43</f>
        <v>0</v>
      </c>
      <c r="P31" s="14" t="n">
        <f aca="false">P22*Допущения!$C$43</f>
        <v>0</v>
      </c>
      <c r="Q31" s="14" t="n">
        <f aca="false">Q22*Допущения!$C$43</f>
        <v>0</v>
      </c>
      <c r="R31" s="14" t="n">
        <f aca="false">R22*Допущения!$C$43</f>
        <v>0</v>
      </c>
      <c r="S31" s="14" t="n">
        <f aca="false">S22*Допущения!$C$43</f>
        <v>0</v>
      </c>
      <c r="T31" s="14" t="n">
        <f aca="false">T22*Допущения!$C$43</f>
        <v>0</v>
      </c>
      <c r="U31" s="14" t="n">
        <f aca="false">U22*Допущения!$C$43</f>
        <v>0</v>
      </c>
      <c r="V31" s="14" t="n">
        <f aca="false">V22*Допущения!$C$43</f>
        <v>0</v>
      </c>
      <c r="W31" s="14" t="n">
        <f aca="false">W22*Допущения!$C$43</f>
        <v>0</v>
      </c>
      <c r="X31" s="14" t="n">
        <f aca="false">X22*Допущения!$C$43</f>
        <v>0</v>
      </c>
      <c r="Y31" s="14" t="n">
        <f aca="false">Y22*Допущения!$C$43</f>
        <v>0</v>
      </c>
      <c r="Z31" s="14" t="n">
        <f aca="false">Z22*Допущения!$C$43</f>
        <v>0</v>
      </c>
      <c r="AA31" s="14" t="n">
        <f aca="false">AA22*Допущения!$C$43</f>
        <v>166666.666666667</v>
      </c>
      <c r="AB31" s="14" t="n">
        <f aca="false">AB22*Допущения!$C$43</f>
        <v>166666.666666667</v>
      </c>
      <c r="AC31" s="14" t="n">
        <f aca="false">AC22*Допущения!$C$43</f>
        <v>166666.666666667</v>
      </c>
      <c r="AD31" s="14" t="n">
        <f aca="false">AD22*Допущения!$C$43</f>
        <v>166666.666666667</v>
      </c>
      <c r="AE31" s="14" t="n">
        <f aca="false">AE22*Допущения!$C$43</f>
        <v>166666.666666667</v>
      </c>
      <c r="AF31" s="14" t="n">
        <f aca="false">AF22*Допущения!$C$43</f>
        <v>166666.666666667</v>
      </c>
      <c r="AG31" s="14" t="n">
        <f aca="false">AG22*Допущения!$C$43</f>
        <v>166666.666666667</v>
      </c>
      <c r="AH31" s="14" t="n">
        <f aca="false">AH22*Допущения!$C$43</f>
        <v>166666.666666667</v>
      </c>
      <c r="AI31" s="14" t="n">
        <f aca="false">AI22*Допущения!$C$43</f>
        <v>166666.666666667</v>
      </c>
      <c r="AJ31" s="14" t="n">
        <f aca="false">AJ22*Допущения!$C$43</f>
        <v>166666.666666667</v>
      </c>
      <c r="AK31" s="14" t="n">
        <f aca="false">AK22*Допущения!$C$43</f>
        <v>166666.666666667</v>
      </c>
      <c r="AL31" s="14" t="n">
        <f aca="false">AL22*Допущения!$C$43</f>
        <v>166666.666666667</v>
      </c>
    </row>
    <row r="32" customFormat="false" ht="15" hidden="false" customHeight="false" outlineLevel="0" collapsed="false">
      <c r="A32" s="6" t="s">
        <v>186</v>
      </c>
      <c r="B32" s="3" t="s">
        <v>85</v>
      </c>
      <c r="C32" s="14" t="n">
        <f aca="false">C10*Допущения!$C$30</f>
        <v>300000</v>
      </c>
      <c r="D32" s="14" t="n">
        <f aca="false">D10*Допущения!$C$30</f>
        <v>300000</v>
      </c>
      <c r="E32" s="14" t="n">
        <f aca="false">E10*Допущения!$C$30</f>
        <v>300000</v>
      </c>
      <c r="F32" s="14" t="n">
        <f aca="false">F10*Допущения!$C$30</f>
        <v>300000</v>
      </c>
      <c r="G32" s="14" t="n">
        <f aca="false">G10*Допущения!$C$30</f>
        <v>300000</v>
      </c>
      <c r="H32" s="14" t="n">
        <f aca="false">H10*Допущения!$C$30</f>
        <v>300000</v>
      </c>
      <c r="I32" s="14" t="n">
        <f aca="false">I10*Допущения!$C$30</f>
        <v>300000</v>
      </c>
      <c r="J32" s="14" t="n">
        <f aca="false">J10*Допущения!$C$30</f>
        <v>300000</v>
      </c>
      <c r="K32" s="14" t="n">
        <f aca="false">K10*Допущения!$C$30</f>
        <v>300000</v>
      </c>
      <c r="L32" s="14" t="n">
        <f aca="false">L10*Допущения!$C$30</f>
        <v>300000</v>
      </c>
      <c r="M32" s="14" t="n">
        <f aca="false">M10*Допущения!$C$30</f>
        <v>300000</v>
      </c>
      <c r="N32" s="14" t="n">
        <f aca="false">N10*Допущения!$C$30</f>
        <v>300000</v>
      </c>
      <c r="O32" s="14" t="n">
        <f aca="false">O10*Допущения!$C$30</f>
        <v>600000</v>
      </c>
      <c r="P32" s="14" t="n">
        <f aca="false">P10*Допущения!$C$30</f>
        <v>600000</v>
      </c>
      <c r="Q32" s="14" t="n">
        <f aca="false">Q10*Допущения!$C$30</f>
        <v>600000</v>
      </c>
      <c r="R32" s="14" t="n">
        <f aca="false">R10*Допущения!$C$30</f>
        <v>600000</v>
      </c>
      <c r="S32" s="14" t="n">
        <f aca="false">S10*Допущения!$C$30</f>
        <v>600000</v>
      </c>
      <c r="T32" s="14" t="n">
        <f aca="false">T10*Допущения!$C$30</f>
        <v>600000</v>
      </c>
      <c r="U32" s="14" t="n">
        <f aca="false">U10*Допущения!$C$30</f>
        <v>600000</v>
      </c>
      <c r="V32" s="14" t="n">
        <f aca="false">V10*Допущения!$C$30</f>
        <v>600000</v>
      </c>
      <c r="W32" s="14" t="n">
        <f aca="false">W10*Допущения!$C$30</f>
        <v>600000</v>
      </c>
      <c r="X32" s="14" t="n">
        <f aca="false">X10*Допущения!$C$30</f>
        <v>600000</v>
      </c>
      <c r="Y32" s="14" t="n">
        <f aca="false">Y10*Допущения!$C$30</f>
        <v>600000</v>
      </c>
      <c r="Z32" s="14" t="n">
        <f aca="false">Z10*Допущения!$C$30</f>
        <v>600000</v>
      </c>
      <c r="AA32" s="14" t="n">
        <f aca="false">AA10*Допущения!$C$30</f>
        <v>800000</v>
      </c>
      <c r="AB32" s="14" t="n">
        <f aca="false">AB10*Допущения!$C$30</f>
        <v>800000</v>
      </c>
      <c r="AC32" s="14" t="n">
        <f aca="false">AC10*Допущения!$C$30</f>
        <v>800000</v>
      </c>
      <c r="AD32" s="14" t="n">
        <f aca="false">AD10*Допущения!$C$30</f>
        <v>800000</v>
      </c>
      <c r="AE32" s="14" t="n">
        <f aca="false">AE10*Допущения!$C$30</f>
        <v>800000</v>
      </c>
      <c r="AF32" s="14" t="n">
        <f aca="false">AF10*Допущения!$C$30</f>
        <v>800000</v>
      </c>
      <c r="AG32" s="14" t="n">
        <f aca="false">AG10*Допущения!$C$30</f>
        <v>800000</v>
      </c>
      <c r="AH32" s="14" t="n">
        <f aca="false">AH10*Допущения!$C$30</f>
        <v>800000</v>
      </c>
      <c r="AI32" s="14" t="n">
        <f aca="false">AI10*Допущения!$C$30</f>
        <v>800000</v>
      </c>
      <c r="AJ32" s="14" t="n">
        <f aca="false">AJ10*Допущения!$C$30</f>
        <v>800000</v>
      </c>
      <c r="AK32" s="14" t="n">
        <f aca="false">AK10*Допущения!$C$30</f>
        <v>800000</v>
      </c>
      <c r="AL32" s="14" t="n">
        <f aca="false">AL10*Допущения!$C$30</f>
        <v>800000</v>
      </c>
    </row>
    <row r="33" customFormat="false" ht="15" hidden="false" customHeight="false" outlineLevel="0" collapsed="false">
      <c r="A33" s="6" t="s">
        <v>187</v>
      </c>
      <c r="B33" s="3" t="s">
        <v>85</v>
      </c>
      <c r="C33" s="14" t="n">
        <f aca="false">CHOOSE(C$6,Допущения!$C$18,Допущения!$D$18,Допущения!$E$18)</f>
        <v>60000</v>
      </c>
      <c r="D33" s="14" t="n">
        <f aca="false">CHOOSE(D$6,Допущения!$C$18,Допущения!$D$18,Допущения!$E$18)</f>
        <v>60000</v>
      </c>
      <c r="E33" s="14" t="n">
        <f aca="false">CHOOSE(E$6,Допущения!$C$18,Допущения!$D$18,Допущения!$E$18)</f>
        <v>60000</v>
      </c>
      <c r="F33" s="14" t="n">
        <f aca="false">CHOOSE(F$6,Допущения!$C$18,Допущения!$D$18,Допущения!$E$18)</f>
        <v>60000</v>
      </c>
      <c r="G33" s="14" t="n">
        <f aca="false">CHOOSE(G$6,Допущения!$C$18,Допущения!$D$18,Допущения!$E$18)</f>
        <v>60000</v>
      </c>
      <c r="H33" s="14" t="n">
        <f aca="false">CHOOSE(H$6,Допущения!$C$18,Допущения!$D$18,Допущения!$E$18)</f>
        <v>60000</v>
      </c>
      <c r="I33" s="14" t="n">
        <f aca="false">CHOOSE(I$6,Допущения!$C$18,Допущения!$D$18,Допущения!$E$18)</f>
        <v>60000</v>
      </c>
      <c r="J33" s="14" t="n">
        <f aca="false">CHOOSE(J$6,Допущения!$C$18,Допущения!$D$18,Допущения!$E$18)</f>
        <v>60000</v>
      </c>
      <c r="K33" s="14" t="n">
        <f aca="false">CHOOSE(K$6,Допущения!$C$18,Допущения!$D$18,Допущения!$E$18)</f>
        <v>60000</v>
      </c>
      <c r="L33" s="14" t="n">
        <f aca="false">CHOOSE(L$6,Допущения!$C$18,Допущения!$D$18,Допущения!$E$18)</f>
        <v>60000</v>
      </c>
      <c r="M33" s="14" t="n">
        <f aca="false">CHOOSE(M$6,Допущения!$C$18,Допущения!$D$18,Допущения!$E$18)</f>
        <v>60000</v>
      </c>
      <c r="N33" s="14" t="n">
        <f aca="false">CHOOSE(N$6,Допущения!$C$18,Допущения!$D$18,Допущения!$E$18)</f>
        <v>60000</v>
      </c>
      <c r="O33" s="14" t="n">
        <f aca="false">CHOOSE(O$6,Допущения!$C$18,Допущения!$D$18,Допущения!$E$18)</f>
        <v>120000</v>
      </c>
      <c r="P33" s="14" t="n">
        <f aca="false">CHOOSE(P$6,Допущения!$C$18,Допущения!$D$18,Допущения!$E$18)</f>
        <v>120000</v>
      </c>
      <c r="Q33" s="14" t="n">
        <f aca="false">CHOOSE(Q$6,Допущения!$C$18,Допущения!$D$18,Допущения!$E$18)</f>
        <v>120000</v>
      </c>
      <c r="R33" s="14" t="n">
        <f aca="false">CHOOSE(R$6,Допущения!$C$18,Допущения!$D$18,Допущения!$E$18)</f>
        <v>120000</v>
      </c>
      <c r="S33" s="14" t="n">
        <f aca="false">CHOOSE(S$6,Допущения!$C$18,Допущения!$D$18,Допущения!$E$18)</f>
        <v>120000</v>
      </c>
      <c r="T33" s="14" t="n">
        <f aca="false">CHOOSE(T$6,Допущения!$C$18,Допущения!$D$18,Допущения!$E$18)</f>
        <v>120000</v>
      </c>
      <c r="U33" s="14" t="n">
        <f aca="false">CHOOSE(U$6,Допущения!$C$18,Допущения!$D$18,Допущения!$E$18)</f>
        <v>120000</v>
      </c>
      <c r="V33" s="14" t="n">
        <f aca="false">CHOOSE(V$6,Допущения!$C$18,Допущения!$D$18,Допущения!$E$18)</f>
        <v>120000</v>
      </c>
      <c r="W33" s="14" t="n">
        <f aca="false">CHOOSE(W$6,Допущения!$C$18,Допущения!$D$18,Допущения!$E$18)</f>
        <v>120000</v>
      </c>
      <c r="X33" s="14" t="n">
        <f aca="false">CHOOSE(X$6,Допущения!$C$18,Допущения!$D$18,Допущения!$E$18)</f>
        <v>120000</v>
      </c>
      <c r="Y33" s="14" t="n">
        <f aca="false">CHOOSE(Y$6,Допущения!$C$18,Допущения!$D$18,Допущения!$E$18)</f>
        <v>120000</v>
      </c>
      <c r="Z33" s="14" t="n">
        <f aca="false">CHOOSE(Z$6,Допущения!$C$18,Допущения!$D$18,Допущения!$E$18)</f>
        <v>120000</v>
      </c>
      <c r="AA33" s="14" t="n">
        <f aca="false">CHOOSE(AA$6,Допущения!$C$18,Допущения!$D$18,Допущения!$E$18)</f>
        <v>200000</v>
      </c>
      <c r="AB33" s="14" t="n">
        <f aca="false">CHOOSE(AB$6,Допущения!$C$18,Допущения!$D$18,Допущения!$E$18)</f>
        <v>200000</v>
      </c>
      <c r="AC33" s="14" t="n">
        <f aca="false">CHOOSE(AC$6,Допущения!$C$18,Допущения!$D$18,Допущения!$E$18)</f>
        <v>200000</v>
      </c>
      <c r="AD33" s="14" t="n">
        <f aca="false">CHOOSE(AD$6,Допущения!$C$18,Допущения!$D$18,Допущения!$E$18)</f>
        <v>200000</v>
      </c>
      <c r="AE33" s="14" t="n">
        <f aca="false">CHOOSE(AE$6,Допущения!$C$18,Допущения!$D$18,Допущения!$E$18)</f>
        <v>200000</v>
      </c>
      <c r="AF33" s="14" t="n">
        <f aca="false">CHOOSE(AF$6,Допущения!$C$18,Допущения!$D$18,Допущения!$E$18)</f>
        <v>200000</v>
      </c>
      <c r="AG33" s="14" t="n">
        <f aca="false">CHOOSE(AG$6,Допущения!$C$18,Допущения!$D$18,Допущения!$E$18)</f>
        <v>200000</v>
      </c>
      <c r="AH33" s="14" t="n">
        <f aca="false">CHOOSE(AH$6,Допущения!$C$18,Допущения!$D$18,Допущения!$E$18)</f>
        <v>200000</v>
      </c>
      <c r="AI33" s="14" t="n">
        <f aca="false">CHOOSE(AI$6,Допущения!$C$18,Допущения!$D$18,Допущения!$E$18)</f>
        <v>200000</v>
      </c>
      <c r="AJ33" s="14" t="n">
        <f aca="false">CHOOSE(AJ$6,Допущения!$C$18,Допущения!$D$18,Допущения!$E$18)</f>
        <v>200000</v>
      </c>
      <c r="AK33" s="14" t="n">
        <f aca="false">CHOOSE(AK$6,Допущения!$C$18,Допущения!$D$18,Допущения!$E$18)</f>
        <v>200000</v>
      </c>
      <c r="AL33" s="14" t="n">
        <f aca="false">CHOOSE(AL$6,Допущения!$C$18,Допущения!$D$18,Допущения!$E$18)</f>
        <v>200000</v>
      </c>
    </row>
    <row r="34" customFormat="false" ht="15" hidden="false" customHeight="false" outlineLevel="0" collapsed="false">
      <c r="A34" s="6" t="s">
        <v>188</v>
      </c>
      <c r="B34" s="3" t="s">
        <v>85</v>
      </c>
      <c r="C34" s="14" t="n">
        <f aca="false">Допущения!$C$15+IF(C$4=1,Допущения!$C$14,0)</f>
        <v>840000</v>
      </c>
      <c r="D34" s="14" t="n">
        <f aca="false">Допущения!$C$15+IF(D$4=1,Допущения!$C$14,0)</f>
        <v>40000</v>
      </c>
      <c r="E34" s="14" t="n">
        <f aca="false">Допущения!$C$15+IF(E$4=1,Допущения!$C$14,0)</f>
        <v>40000</v>
      </c>
      <c r="F34" s="14" t="n">
        <f aca="false">Допущения!$C$15+IF(F$4=1,Допущения!$C$14,0)</f>
        <v>40000</v>
      </c>
      <c r="G34" s="14" t="n">
        <f aca="false">Допущения!$C$15+IF(G$4=1,Допущения!$C$14,0)</f>
        <v>40000</v>
      </c>
      <c r="H34" s="14" t="n">
        <f aca="false">Допущения!$C$15+IF(H$4=1,Допущения!$C$14,0)</f>
        <v>40000</v>
      </c>
      <c r="I34" s="14" t="n">
        <f aca="false">Допущения!$C$15+IF(I$4=1,Допущения!$C$14,0)</f>
        <v>40000</v>
      </c>
      <c r="J34" s="14" t="n">
        <f aca="false">Допущения!$C$15+IF(J$4=1,Допущения!$C$14,0)</f>
        <v>40000</v>
      </c>
      <c r="K34" s="14" t="n">
        <f aca="false">Допущения!$C$15+IF(K$4=1,Допущения!$C$14,0)</f>
        <v>40000</v>
      </c>
      <c r="L34" s="14" t="n">
        <f aca="false">Допущения!$C$15+IF(L$4=1,Допущения!$C$14,0)</f>
        <v>40000</v>
      </c>
      <c r="M34" s="14" t="n">
        <f aca="false">Допущения!$C$15+IF(M$4=1,Допущения!$C$14,0)</f>
        <v>40000</v>
      </c>
      <c r="N34" s="14" t="n">
        <f aca="false">Допущения!$C$15+IF(N$4=1,Допущения!$C$14,0)</f>
        <v>40000</v>
      </c>
      <c r="O34" s="14" t="n">
        <f aca="false">Допущения!$C$15+IF(O$4=1,Допущения!$C$14,0)</f>
        <v>40000</v>
      </c>
      <c r="P34" s="14" t="n">
        <f aca="false">Допущения!$C$15+IF(P$4=1,Допущения!$C$14,0)</f>
        <v>40000</v>
      </c>
      <c r="Q34" s="14" t="n">
        <f aca="false">Допущения!$C$15+IF(Q$4=1,Допущения!$C$14,0)</f>
        <v>40000</v>
      </c>
      <c r="R34" s="14" t="n">
        <f aca="false">Допущения!$C$15+IF(R$4=1,Допущения!$C$14,0)</f>
        <v>40000</v>
      </c>
      <c r="S34" s="14" t="n">
        <f aca="false">Допущения!$C$15+IF(S$4=1,Допущения!$C$14,0)</f>
        <v>40000</v>
      </c>
      <c r="T34" s="14" t="n">
        <f aca="false">Допущения!$C$15+IF(T$4=1,Допущения!$C$14,0)</f>
        <v>40000</v>
      </c>
      <c r="U34" s="14" t="n">
        <f aca="false">Допущения!$C$15+IF(U$4=1,Допущения!$C$14,0)</f>
        <v>40000</v>
      </c>
      <c r="V34" s="14" t="n">
        <f aca="false">Допущения!$C$15+IF(V$4=1,Допущения!$C$14,0)</f>
        <v>40000</v>
      </c>
      <c r="W34" s="14" t="n">
        <f aca="false">Допущения!$C$15+IF(W$4=1,Допущения!$C$14,0)</f>
        <v>40000</v>
      </c>
      <c r="X34" s="14" t="n">
        <f aca="false">Допущения!$C$15+IF(X$4=1,Допущения!$C$14,0)</f>
        <v>40000</v>
      </c>
      <c r="Y34" s="14" t="n">
        <f aca="false">Допущения!$C$15+IF(Y$4=1,Допущения!$C$14,0)</f>
        <v>40000</v>
      </c>
      <c r="Z34" s="14" t="n">
        <f aca="false">Допущения!$C$15+IF(Z$4=1,Допущения!$C$14,0)</f>
        <v>40000</v>
      </c>
      <c r="AA34" s="14" t="n">
        <f aca="false">Допущения!$C$15+IF(AA$4=1,Допущения!$C$14,0)</f>
        <v>40000</v>
      </c>
      <c r="AB34" s="14" t="n">
        <f aca="false">Допущения!$C$15+IF(AB$4=1,Допущения!$C$14,0)</f>
        <v>40000</v>
      </c>
      <c r="AC34" s="14" t="n">
        <f aca="false">Допущения!$C$15+IF(AC$4=1,Допущения!$C$14,0)</f>
        <v>40000</v>
      </c>
      <c r="AD34" s="14" t="n">
        <f aca="false">Допущения!$C$15+IF(AD$4=1,Допущения!$C$14,0)</f>
        <v>40000</v>
      </c>
      <c r="AE34" s="14" t="n">
        <f aca="false">Допущения!$C$15+IF(AE$4=1,Допущения!$C$14,0)</f>
        <v>40000</v>
      </c>
      <c r="AF34" s="14" t="n">
        <f aca="false">Допущения!$C$15+IF(AF$4=1,Допущения!$C$14,0)</f>
        <v>40000</v>
      </c>
      <c r="AG34" s="14" t="n">
        <f aca="false">Допущения!$C$15+IF(AG$4=1,Допущения!$C$14,0)</f>
        <v>40000</v>
      </c>
      <c r="AH34" s="14" t="n">
        <f aca="false">Допущения!$C$15+IF(AH$4=1,Допущения!$C$14,0)</f>
        <v>40000</v>
      </c>
      <c r="AI34" s="14" t="n">
        <f aca="false">Допущения!$C$15+IF(AI$4=1,Допущения!$C$14,0)</f>
        <v>40000</v>
      </c>
      <c r="AJ34" s="14" t="n">
        <f aca="false">Допущения!$C$15+IF(AJ$4=1,Допущения!$C$14,0)</f>
        <v>40000</v>
      </c>
      <c r="AK34" s="14" t="n">
        <f aca="false">Допущения!$C$15+IF(AK$4=1,Допущения!$C$14,0)</f>
        <v>40000</v>
      </c>
      <c r="AL34" s="14" t="n">
        <f aca="false">Допущения!$C$15+IF(AL$4=1,Допущения!$C$14,0)</f>
        <v>40000</v>
      </c>
    </row>
    <row r="35" customFormat="false" ht="15" hidden="false" customHeight="false" outlineLevel="0" collapsed="false">
      <c r="A35" s="6" t="s">
        <v>189</v>
      </c>
      <c r="B35" s="3" t="s">
        <v>85</v>
      </c>
      <c r="C35" s="14" t="n">
        <f aca="false">CHOOSE(C$6,Допущения!$C$19,Допущения!$D$19,Допущения!$E$19)</f>
        <v>0</v>
      </c>
      <c r="D35" s="14" t="n">
        <f aca="false">CHOOSE(D$6,Допущения!$C$19,Допущения!$D$19,Допущения!$E$19)</f>
        <v>0</v>
      </c>
      <c r="E35" s="14" t="n">
        <f aca="false">CHOOSE(E$6,Допущения!$C$19,Допущения!$D$19,Допущения!$E$19)</f>
        <v>0</v>
      </c>
      <c r="F35" s="14" t="n">
        <f aca="false">CHOOSE(F$6,Допущения!$C$19,Допущения!$D$19,Допущения!$E$19)</f>
        <v>0</v>
      </c>
      <c r="G35" s="14" t="n">
        <f aca="false">CHOOSE(G$6,Допущения!$C$19,Допущения!$D$19,Допущения!$E$19)</f>
        <v>0</v>
      </c>
      <c r="H35" s="14" t="n">
        <f aca="false">CHOOSE(H$6,Допущения!$C$19,Допущения!$D$19,Допущения!$E$19)</f>
        <v>0</v>
      </c>
      <c r="I35" s="14" t="n">
        <f aca="false">CHOOSE(I$6,Допущения!$C$19,Допущения!$D$19,Допущения!$E$19)</f>
        <v>0</v>
      </c>
      <c r="J35" s="14" t="n">
        <f aca="false">CHOOSE(J$6,Допущения!$C$19,Допущения!$D$19,Допущения!$E$19)</f>
        <v>0</v>
      </c>
      <c r="K35" s="14" t="n">
        <f aca="false">CHOOSE(K$6,Допущения!$C$19,Допущения!$D$19,Допущения!$E$19)</f>
        <v>0</v>
      </c>
      <c r="L35" s="14" t="n">
        <f aca="false">CHOOSE(L$6,Допущения!$C$19,Допущения!$D$19,Допущения!$E$19)</f>
        <v>0</v>
      </c>
      <c r="M35" s="14" t="n">
        <f aca="false">CHOOSE(M$6,Допущения!$C$19,Допущения!$D$19,Допущения!$E$19)</f>
        <v>0</v>
      </c>
      <c r="N35" s="14" t="n">
        <f aca="false">CHOOSE(N$6,Допущения!$C$19,Допущения!$D$19,Допущения!$E$19)</f>
        <v>0</v>
      </c>
      <c r="O35" s="14" t="n">
        <f aca="false">CHOOSE(O$6,Допущения!$C$19,Допущения!$D$19,Допущения!$E$19)</f>
        <v>300000</v>
      </c>
      <c r="P35" s="14" t="n">
        <f aca="false">CHOOSE(P$6,Допущения!$C$19,Допущения!$D$19,Допущения!$E$19)</f>
        <v>300000</v>
      </c>
      <c r="Q35" s="14" t="n">
        <f aca="false">CHOOSE(Q$6,Допущения!$C$19,Допущения!$D$19,Допущения!$E$19)</f>
        <v>300000</v>
      </c>
      <c r="R35" s="14" t="n">
        <f aca="false">CHOOSE(R$6,Допущения!$C$19,Допущения!$D$19,Допущения!$E$19)</f>
        <v>300000</v>
      </c>
      <c r="S35" s="14" t="n">
        <f aca="false">CHOOSE(S$6,Допущения!$C$19,Допущения!$D$19,Допущения!$E$19)</f>
        <v>300000</v>
      </c>
      <c r="T35" s="14" t="n">
        <f aca="false">CHOOSE(T$6,Допущения!$C$19,Допущения!$D$19,Допущения!$E$19)</f>
        <v>300000</v>
      </c>
      <c r="U35" s="14" t="n">
        <f aca="false">CHOOSE(U$6,Допущения!$C$19,Допущения!$D$19,Допущения!$E$19)</f>
        <v>300000</v>
      </c>
      <c r="V35" s="14" t="n">
        <f aca="false">CHOOSE(V$6,Допущения!$C$19,Допущения!$D$19,Допущения!$E$19)</f>
        <v>300000</v>
      </c>
      <c r="W35" s="14" t="n">
        <f aca="false">CHOOSE(W$6,Допущения!$C$19,Допущения!$D$19,Допущения!$E$19)</f>
        <v>300000</v>
      </c>
      <c r="X35" s="14" t="n">
        <f aca="false">CHOOSE(X$6,Допущения!$C$19,Допущения!$D$19,Допущения!$E$19)</f>
        <v>300000</v>
      </c>
      <c r="Y35" s="14" t="n">
        <f aca="false">CHOOSE(Y$6,Допущения!$C$19,Допущения!$D$19,Допущения!$E$19)</f>
        <v>300000</v>
      </c>
      <c r="Z35" s="14" t="n">
        <f aca="false">CHOOSE(Z$6,Допущения!$C$19,Допущения!$D$19,Допущения!$E$19)</f>
        <v>300000</v>
      </c>
      <c r="AA35" s="14" t="n">
        <f aca="false">CHOOSE(AA$6,Допущения!$C$19,Допущения!$D$19,Допущения!$E$19)</f>
        <v>500000</v>
      </c>
      <c r="AB35" s="14" t="n">
        <f aca="false">CHOOSE(AB$6,Допущения!$C$19,Допущения!$D$19,Допущения!$E$19)</f>
        <v>500000</v>
      </c>
      <c r="AC35" s="14" t="n">
        <f aca="false">CHOOSE(AC$6,Допущения!$C$19,Допущения!$D$19,Допущения!$E$19)</f>
        <v>500000</v>
      </c>
      <c r="AD35" s="14" t="n">
        <f aca="false">CHOOSE(AD$6,Допущения!$C$19,Допущения!$D$19,Допущения!$E$19)</f>
        <v>500000</v>
      </c>
      <c r="AE35" s="14" t="n">
        <f aca="false">CHOOSE(AE$6,Допущения!$C$19,Допущения!$D$19,Допущения!$E$19)</f>
        <v>500000</v>
      </c>
      <c r="AF35" s="14" t="n">
        <f aca="false">CHOOSE(AF$6,Допущения!$C$19,Допущения!$D$19,Допущения!$E$19)</f>
        <v>500000</v>
      </c>
      <c r="AG35" s="14" t="n">
        <f aca="false">CHOOSE(AG$6,Допущения!$C$19,Допущения!$D$19,Допущения!$E$19)</f>
        <v>500000</v>
      </c>
      <c r="AH35" s="14" t="n">
        <f aca="false">CHOOSE(AH$6,Допущения!$C$19,Допущения!$D$19,Допущения!$E$19)</f>
        <v>500000</v>
      </c>
      <c r="AI35" s="14" t="n">
        <f aca="false">CHOOSE(AI$6,Допущения!$C$19,Допущения!$D$19,Допущения!$E$19)</f>
        <v>500000</v>
      </c>
      <c r="AJ35" s="14" t="n">
        <f aca="false">CHOOSE(AJ$6,Допущения!$C$19,Допущения!$D$19,Допущения!$E$19)</f>
        <v>500000</v>
      </c>
      <c r="AK35" s="14" t="n">
        <f aca="false">CHOOSE(AK$6,Допущения!$C$19,Допущения!$D$19,Допущения!$E$19)</f>
        <v>500000</v>
      </c>
      <c r="AL35" s="14" t="n">
        <f aca="false">CHOOSE(AL$6,Допущения!$C$19,Допущения!$D$19,Допущения!$E$19)</f>
        <v>500000</v>
      </c>
    </row>
    <row r="36" customFormat="false" ht="15" hidden="false" customHeight="false" outlineLevel="0" collapsed="false">
      <c r="A36" s="6" t="s">
        <v>190</v>
      </c>
      <c r="B36" s="3" t="s">
        <v>85</v>
      </c>
      <c r="C36" s="14" t="n">
        <f aca="false">SUM(C32:C35)</f>
        <v>1200000</v>
      </c>
      <c r="D36" s="14" t="n">
        <f aca="false">SUM(D32:D35)</f>
        <v>400000</v>
      </c>
      <c r="E36" s="14" t="n">
        <f aca="false">SUM(E32:E35)</f>
        <v>400000</v>
      </c>
      <c r="F36" s="14" t="n">
        <f aca="false">SUM(F32:F35)</f>
        <v>400000</v>
      </c>
      <c r="G36" s="14" t="n">
        <f aca="false">SUM(G32:G35)</f>
        <v>400000</v>
      </c>
      <c r="H36" s="14" t="n">
        <f aca="false">SUM(H32:H35)</f>
        <v>400000</v>
      </c>
      <c r="I36" s="14" t="n">
        <f aca="false">SUM(I32:I35)</f>
        <v>400000</v>
      </c>
      <c r="J36" s="14" t="n">
        <f aca="false">SUM(J32:J35)</f>
        <v>400000</v>
      </c>
      <c r="K36" s="14" t="n">
        <f aca="false">SUM(K32:K35)</f>
        <v>400000</v>
      </c>
      <c r="L36" s="14" t="n">
        <f aca="false">SUM(L32:L35)</f>
        <v>400000</v>
      </c>
      <c r="M36" s="14" t="n">
        <f aca="false">SUM(M32:M35)</f>
        <v>400000</v>
      </c>
      <c r="N36" s="14" t="n">
        <f aca="false">SUM(N32:N35)</f>
        <v>400000</v>
      </c>
      <c r="O36" s="14" t="n">
        <f aca="false">SUM(O32:O35)</f>
        <v>1060000</v>
      </c>
      <c r="P36" s="14" t="n">
        <f aca="false">SUM(P32:P35)</f>
        <v>1060000</v>
      </c>
      <c r="Q36" s="14" t="n">
        <f aca="false">SUM(Q32:Q35)</f>
        <v>1060000</v>
      </c>
      <c r="R36" s="14" t="n">
        <f aca="false">SUM(R32:R35)</f>
        <v>1060000</v>
      </c>
      <c r="S36" s="14" t="n">
        <f aca="false">SUM(S32:S35)</f>
        <v>1060000</v>
      </c>
      <c r="T36" s="14" t="n">
        <f aca="false">SUM(T32:T35)</f>
        <v>1060000</v>
      </c>
      <c r="U36" s="14" t="n">
        <f aca="false">SUM(U32:U35)</f>
        <v>1060000</v>
      </c>
      <c r="V36" s="14" t="n">
        <f aca="false">SUM(V32:V35)</f>
        <v>1060000</v>
      </c>
      <c r="W36" s="14" t="n">
        <f aca="false">SUM(W32:W35)</f>
        <v>1060000</v>
      </c>
      <c r="X36" s="14" t="n">
        <f aca="false">SUM(X32:X35)</f>
        <v>1060000</v>
      </c>
      <c r="Y36" s="14" t="n">
        <f aca="false">SUM(Y32:Y35)</f>
        <v>1060000</v>
      </c>
      <c r="Z36" s="14" t="n">
        <f aca="false">SUM(Z32:Z35)</f>
        <v>1060000</v>
      </c>
      <c r="AA36" s="14" t="n">
        <f aca="false">SUM(AA32:AA35)</f>
        <v>1540000</v>
      </c>
      <c r="AB36" s="14" t="n">
        <f aca="false">SUM(AB32:AB35)</f>
        <v>1540000</v>
      </c>
      <c r="AC36" s="14" t="n">
        <f aca="false">SUM(AC32:AC35)</f>
        <v>1540000</v>
      </c>
      <c r="AD36" s="14" t="n">
        <f aca="false">SUM(AD32:AD35)</f>
        <v>1540000</v>
      </c>
      <c r="AE36" s="14" t="n">
        <f aca="false">SUM(AE32:AE35)</f>
        <v>1540000</v>
      </c>
      <c r="AF36" s="14" t="n">
        <f aca="false">SUM(AF32:AF35)</f>
        <v>1540000</v>
      </c>
      <c r="AG36" s="14" t="n">
        <f aca="false">SUM(AG32:AG35)</f>
        <v>1540000</v>
      </c>
      <c r="AH36" s="14" t="n">
        <f aca="false">SUM(AH32:AH35)</f>
        <v>1540000</v>
      </c>
      <c r="AI36" s="14" t="n">
        <f aca="false">SUM(AI32:AI35)</f>
        <v>1540000</v>
      </c>
      <c r="AJ36" s="14" t="n">
        <f aca="false">SUM(AJ32:AJ35)</f>
        <v>1540000</v>
      </c>
      <c r="AK36" s="14" t="n">
        <f aca="false">SUM(AK32:AK35)</f>
        <v>1540000</v>
      </c>
      <c r="AL36" s="14" t="n">
        <f aca="false">SUM(AL32:AL35)</f>
        <v>1540000</v>
      </c>
    </row>
    <row r="37" customFormat="false" ht="15" hidden="false" customHeight="false" outlineLevel="0" collapsed="false">
      <c r="A37" s="33" t="s">
        <v>191</v>
      </c>
      <c r="B37" s="34" t="s">
        <v>85</v>
      </c>
      <c r="C37" s="35" t="n">
        <f aca="false">C21+C30-C36-C31</f>
        <v>-1191749.34</v>
      </c>
      <c r="D37" s="35" t="n">
        <f aca="false">D21+D30-D36-D31</f>
        <v>-387995.2897</v>
      </c>
      <c r="E37" s="35" t="n">
        <f aca="false">E21+E30-E36-E31</f>
        <v>-382527.577318</v>
      </c>
      <c r="F37" s="35" t="n">
        <f aca="false">F21+F30-F36-F31</f>
        <v>-362313.2127982</v>
      </c>
      <c r="G37" s="35" t="n">
        <f aca="false">G21+G30-G36-G31</f>
        <v>-349687.204533339</v>
      </c>
      <c r="H37" s="35" t="n">
        <f aca="false">H21+H30-H36-H31</f>
        <v>-336030.525194187</v>
      </c>
      <c r="I37" s="35" t="n">
        <f aca="false">I21+I30-I36-I31</f>
        <v>-321450.428989414</v>
      </c>
      <c r="J37" s="35" t="n">
        <f aca="false">J21+J30-J36-J31</f>
        <v>-346311.434307723</v>
      </c>
      <c r="K37" s="35" t="n">
        <f aca="false">K21+K30-K36-K31</f>
        <v>-333942.349280417</v>
      </c>
      <c r="L37" s="35" t="n">
        <f aca="false">L21+L30-L36-L31</f>
        <v>-320693.12869288</v>
      </c>
      <c r="M37" s="35" t="n">
        <f aca="false">M21+M30-M36-M31</f>
        <v>-315138.215971307</v>
      </c>
      <c r="N37" s="35" t="n">
        <f aca="false">N21+N30-N36-N31</f>
        <v>-309916.598013028</v>
      </c>
      <c r="O37" s="35" t="n">
        <f aca="false">O21+O30-O36-O31</f>
        <v>-975755.961705797</v>
      </c>
      <c r="P37" s="35" t="n">
        <f aca="false">P21+P30-P36-P31</f>
        <v>-988231.963002587</v>
      </c>
      <c r="Q37" s="35" t="n">
        <f aca="false">Q21+Q30-Q36-Q31</f>
        <v>-980162.055222432</v>
      </c>
      <c r="R37" s="35" t="n">
        <f aca="false">R21+R30-R36-R31</f>
        <v>-914293.90318181</v>
      </c>
      <c r="S37" s="35" t="n">
        <f aca="false">S21+S30-S36-S31</f>
        <v>-886650.580889992</v>
      </c>
      <c r="T37" s="35" t="n">
        <f aca="false">T21+T30-T36-T31</f>
        <v>-857486.070221737</v>
      </c>
      <c r="U37" s="35" t="n">
        <f aca="false">U21+U30-U36-U31</f>
        <v>-826958.669842469</v>
      </c>
      <c r="V37" s="35" t="n">
        <f aca="false">V21+V30-V36-V31</f>
        <v>-908693.233631951</v>
      </c>
      <c r="W37" s="35" t="n">
        <f aca="false">W21+W30-W36-W31</f>
        <v>-881429.109565788</v>
      </c>
      <c r="X37" s="35" t="n">
        <f aca="false">X21+X30-X36-X31</f>
        <v>-852865.97554649</v>
      </c>
      <c r="Y37" s="35" t="n">
        <f aca="false">Y21+Y30-Y36-Y31</f>
        <v>-844667.367013701</v>
      </c>
      <c r="Z37" s="35" t="n">
        <f aca="false">Z21+Z30-Z36-Z31</f>
        <v>-836960.674992879</v>
      </c>
      <c r="AA37" s="35" t="n">
        <f aca="false">AA21+AA30-AA36-AA31</f>
        <v>-1448823.33426131</v>
      </c>
      <c r="AB37" s="35" t="n">
        <f aca="false">AB21+AB30-AB36-AB31</f>
        <v>-1488291.57732089</v>
      </c>
      <c r="AC37" s="35" t="n">
        <f aca="false">AC21+AC30-AC36-AC31</f>
        <v>-1480805.80268164</v>
      </c>
      <c r="AD37" s="35" t="n">
        <f aca="false">AD21+AD30-AD36-AD31</f>
        <v>-1363914.84642345</v>
      </c>
      <c r="AE37" s="35" t="n">
        <f aca="false">AE21+AE30-AE36-AE31</f>
        <v>-1324324.80853519</v>
      </c>
      <c r="AF37" s="35" t="n">
        <f aca="false">AF21+AF30-AF36-AF31</f>
        <v>-1283323.69214638</v>
      </c>
      <c r="AG37" s="35" t="n">
        <f aca="false">AG21+AG30-AG36-AG31</f>
        <v>-1241058.33761351</v>
      </c>
      <c r="AH37" s="35" t="n">
        <f aca="false">AH21+AH30-AH36-AH31</f>
        <v>-1386614.88247592</v>
      </c>
      <c r="AI37" s="35" t="n">
        <f aca="false">AI21+AI30-AI36-AI31</f>
        <v>-1347376.59488495</v>
      </c>
      <c r="AJ37" s="35" t="n">
        <f aca="false">AJ21+AJ30-AJ36-AJ31</f>
        <v>-1306933.32502799</v>
      </c>
      <c r="AK37" s="35" t="n">
        <f aca="false">AK21+AK30-AK36-AK31</f>
        <v>-1299328.16552631</v>
      </c>
      <c r="AL37" s="35" t="n">
        <f aca="false">AL21+AL30-AL36-AL31</f>
        <v>-1292179.31559473</v>
      </c>
    </row>
    <row r="38" customFormat="false" ht="15" hidden="false" customHeight="false" outlineLevel="0" collapsed="false">
      <c r="A38" s="33" t="s">
        <v>192</v>
      </c>
      <c r="B38" s="34" t="s">
        <v>85</v>
      </c>
      <c r="C38" s="35" t="n">
        <f aca="false">C37</f>
        <v>-1191749.34</v>
      </c>
      <c r="D38" s="35" t="n">
        <f aca="false">C38+D37</f>
        <v>-1579744.6297</v>
      </c>
      <c r="E38" s="35" t="n">
        <f aca="false">D38+E37</f>
        <v>-1962272.207018</v>
      </c>
      <c r="F38" s="35" t="n">
        <f aca="false">E38+F37</f>
        <v>-2324585.4198162</v>
      </c>
      <c r="G38" s="35" t="n">
        <f aca="false">F38+G37</f>
        <v>-2674272.62434954</v>
      </c>
      <c r="H38" s="35" t="n">
        <f aca="false">G38+H37</f>
        <v>-3010303.14954373</v>
      </c>
      <c r="I38" s="35" t="n">
        <f aca="false">H38+I37</f>
        <v>-3331753.57853314</v>
      </c>
      <c r="J38" s="35" t="n">
        <f aca="false">I38+J37</f>
        <v>-3678065.01284086</v>
      </c>
      <c r="K38" s="35" t="n">
        <f aca="false">J38+K37</f>
        <v>-4012007.36212128</v>
      </c>
      <c r="L38" s="35" t="n">
        <f aca="false">K38+L37</f>
        <v>-4332700.49081416</v>
      </c>
      <c r="M38" s="35" t="n">
        <f aca="false">L38+M37</f>
        <v>-4647838.70678547</v>
      </c>
      <c r="N38" s="35" t="n">
        <f aca="false">M38+N37</f>
        <v>-4957755.3047985</v>
      </c>
      <c r="O38" s="35" t="n">
        <f aca="false">N38+O37</f>
        <v>-5933511.26650429</v>
      </c>
      <c r="P38" s="35" t="n">
        <f aca="false">O38+P37</f>
        <v>-6921743.22950688</v>
      </c>
      <c r="Q38" s="35" t="n">
        <f aca="false">P38+Q37</f>
        <v>-7901905.28472931</v>
      </c>
      <c r="R38" s="35" t="n">
        <f aca="false">Q38+R37</f>
        <v>-8816199.18791112</v>
      </c>
      <c r="S38" s="35" t="n">
        <f aca="false">R38+S37</f>
        <v>-9702849.76880112</v>
      </c>
      <c r="T38" s="35" t="n">
        <f aca="false">S38+T37</f>
        <v>-10560335.8390229</v>
      </c>
      <c r="U38" s="35" t="n">
        <f aca="false">T38+U37</f>
        <v>-11387294.5088653</v>
      </c>
      <c r="V38" s="35" t="n">
        <f aca="false">U38+V37</f>
        <v>-12295987.7424973</v>
      </c>
      <c r="W38" s="35" t="n">
        <f aca="false">V38+W37</f>
        <v>-13177416.8520631</v>
      </c>
      <c r="X38" s="35" t="n">
        <f aca="false">W38+X37</f>
        <v>-14030282.8276096</v>
      </c>
      <c r="Y38" s="35" t="n">
        <f aca="false">X38+Y37</f>
        <v>-14874950.1946233</v>
      </c>
      <c r="Z38" s="35" t="n">
        <f aca="false">Y38+Z37</f>
        <v>-15711910.8696161</v>
      </c>
      <c r="AA38" s="35" t="n">
        <f aca="false">Z38+AA37</f>
        <v>-17160734.2038774</v>
      </c>
      <c r="AB38" s="35" t="n">
        <f aca="false">AA38+AB37</f>
        <v>-18649025.7811983</v>
      </c>
      <c r="AC38" s="35" t="n">
        <f aca="false">AB38+AC37</f>
        <v>-20129831.58388</v>
      </c>
      <c r="AD38" s="35" t="n">
        <f aca="false">AC38+AD37</f>
        <v>-21493746.4303034</v>
      </c>
      <c r="AE38" s="35" t="n">
        <f aca="false">AD38+AE37</f>
        <v>-22818071.2388386</v>
      </c>
      <c r="AF38" s="35" t="n">
        <f aca="false">AE38+AF37</f>
        <v>-24101394.930985</v>
      </c>
      <c r="AG38" s="35" t="n">
        <f aca="false">AF38+AG37</f>
        <v>-25342453.2685985</v>
      </c>
      <c r="AH38" s="35" t="n">
        <f aca="false">AG38+AH37</f>
        <v>-26729068.1510744</v>
      </c>
      <c r="AI38" s="35" t="n">
        <f aca="false">AH38+AI37</f>
        <v>-28076444.7459594</v>
      </c>
      <c r="AJ38" s="35" t="n">
        <f aca="false">AI38+AJ37</f>
        <v>-29383378.0709874</v>
      </c>
      <c r="AK38" s="35" t="n">
        <f aca="false">AJ38+AK37</f>
        <v>-30682706.2365137</v>
      </c>
      <c r="AL38" s="35" t="n">
        <f aca="false">AK38+AL37</f>
        <v>-31974885.5521084</v>
      </c>
    </row>
    <row r="39" customFormat="false" ht="15" hidden="false" customHeight="false" outlineLevel="0" collapsed="false">
      <c r="A39" s="3" t="s">
        <v>193</v>
      </c>
      <c r="B39" s="3"/>
      <c r="C39" s="36" t="str">
        <f aca="false">IF(C37&gt;0,C$4,"")</f>
        <v/>
      </c>
      <c r="D39" s="36" t="str">
        <f aca="false">IF(D37&gt;0,D$4,"")</f>
        <v/>
      </c>
      <c r="E39" s="36" t="str">
        <f aca="false">IF(E37&gt;0,E$4,"")</f>
        <v/>
      </c>
      <c r="F39" s="36" t="str">
        <f aca="false">IF(F37&gt;0,F$4,"")</f>
        <v/>
      </c>
      <c r="G39" s="36" t="str">
        <f aca="false">IF(G37&gt;0,G$4,"")</f>
        <v/>
      </c>
      <c r="H39" s="36" t="str">
        <f aca="false">IF(H37&gt;0,H$4,"")</f>
        <v/>
      </c>
      <c r="I39" s="36" t="str">
        <f aca="false">IF(I37&gt;0,I$4,"")</f>
        <v/>
      </c>
      <c r="J39" s="36" t="str">
        <f aca="false">IF(J37&gt;0,J$4,"")</f>
        <v/>
      </c>
      <c r="K39" s="36" t="str">
        <f aca="false">IF(K37&gt;0,K$4,"")</f>
        <v/>
      </c>
      <c r="L39" s="36" t="str">
        <f aca="false">IF(L37&gt;0,L$4,"")</f>
        <v/>
      </c>
      <c r="M39" s="36" t="str">
        <f aca="false">IF(M37&gt;0,M$4,"")</f>
        <v/>
      </c>
      <c r="N39" s="36" t="str">
        <f aca="false">IF(N37&gt;0,N$4,"")</f>
        <v/>
      </c>
      <c r="O39" s="36" t="str">
        <f aca="false">IF(O37&gt;0,O$4,"")</f>
        <v/>
      </c>
      <c r="P39" s="36" t="str">
        <f aca="false">IF(P37&gt;0,P$4,"")</f>
        <v/>
      </c>
      <c r="Q39" s="36" t="str">
        <f aca="false">IF(Q37&gt;0,Q$4,"")</f>
        <v/>
      </c>
      <c r="R39" s="36" t="str">
        <f aca="false">IF(R37&gt;0,R$4,"")</f>
        <v/>
      </c>
      <c r="S39" s="36" t="str">
        <f aca="false">IF(S37&gt;0,S$4,"")</f>
        <v/>
      </c>
      <c r="T39" s="36" t="str">
        <f aca="false">IF(T37&gt;0,T$4,"")</f>
        <v/>
      </c>
      <c r="U39" s="36" t="str">
        <f aca="false">IF(U37&gt;0,U$4,"")</f>
        <v/>
      </c>
      <c r="V39" s="36" t="str">
        <f aca="false">IF(V37&gt;0,V$4,"")</f>
        <v/>
      </c>
      <c r="W39" s="36" t="str">
        <f aca="false">IF(W37&gt;0,W$4,"")</f>
        <v/>
      </c>
      <c r="X39" s="36" t="str">
        <f aca="false">IF(X37&gt;0,X$4,"")</f>
        <v/>
      </c>
      <c r="Y39" s="36" t="str">
        <f aca="false">IF(Y37&gt;0,Y$4,"")</f>
        <v/>
      </c>
      <c r="Z39" s="36" t="str">
        <f aca="false">IF(Z37&gt;0,Z$4,"")</f>
        <v/>
      </c>
      <c r="AA39" s="36" t="str">
        <f aca="false">IF(AA37&gt;0,AA$4,"")</f>
        <v/>
      </c>
      <c r="AB39" s="36" t="str">
        <f aca="false">IF(AB37&gt;0,AB$4,"")</f>
        <v/>
      </c>
      <c r="AC39" s="36" t="str">
        <f aca="false">IF(AC37&gt;0,AC$4,"")</f>
        <v/>
      </c>
      <c r="AD39" s="36" t="str">
        <f aca="false">IF(AD37&gt;0,AD$4,"")</f>
        <v/>
      </c>
      <c r="AE39" s="36" t="str">
        <f aca="false">IF(AE37&gt;0,AE$4,"")</f>
        <v/>
      </c>
      <c r="AF39" s="36" t="str">
        <f aca="false">IF(AF37&gt;0,AF$4,"")</f>
        <v/>
      </c>
      <c r="AG39" s="36" t="str">
        <f aca="false">IF(AG37&gt;0,AG$4,"")</f>
        <v/>
      </c>
      <c r="AH39" s="36" t="str">
        <f aca="false">IF(AH37&gt;0,AH$4,"")</f>
        <v/>
      </c>
      <c r="AI39" s="36" t="str">
        <f aca="false">IF(AI37&gt;0,AI$4,"")</f>
        <v/>
      </c>
      <c r="AJ39" s="36" t="str">
        <f aca="false">IF(AJ37&gt;0,AJ$4,"")</f>
        <v/>
      </c>
      <c r="AK39" s="36" t="str">
        <f aca="false">IF(AK37&gt;0,AK$4,"")</f>
        <v/>
      </c>
      <c r="AL39" s="36" t="str">
        <f aca="false">IF(AL37&gt;0,AL$4,"")</f>
        <v/>
      </c>
    </row>
    <row r="40" customFormat="false" ht="15" hidden="false" customHeight="false" outlineLevel="0" collapsed="false">
      <c r="A40" s="3" t="s">
        <v>194</v>
      </c>
      <c r="B40" s="3"/>
      <c r="C40" s="36" t="str">
        <f aca="false">IF(C38&gt;=0,C$4,"")</f>
        <v/>
      </c>
      <c r="D40" s="36" t="str">
        <f aca="false">IF(D38&gt;=0,D$4,"")</f>
        <v/>
      </c>
      <c r="E40" s="36" t="str">
        <f aca="false">IF(E38&gt;=0,E$4,"")</f>
        <v/>
      </c>
      <c r="F40" s="36" t="str">
        <f aca="false">IF(F38&gt;=0,F$4,"")</f>
        <v/>
      </c>
      <c r="G40" s="36" t="str">
        <f aca="false">IF(G38&gt;=0,G$4,"")</f>
        <v/>
      </c>
      <c r="H40" s="36" t="str">
        <f aca="false">IF(H38&gt;=0,H$4,"")</f>
        <v/>
      </c>
      <c r="I40" s="36" t="str">
        <f aca="false">IF(I38&gt;=0,I$4,"")</f>
        <v/>
      </c>
      <c r="J40" s="36" t="str">
        <f aca="false">IF(J38&gt;=0,J$4,"")</f>
        <v/>
      </c>
      <c r="K40" s="36" t="str">
        <f aca="false">IF(K38&gt;=0,K$4,"")</f>
        <v/>
      </c>
      <c r="L40" s="36" t="str">
        <f aca="false">IF(L38&gt;=0,L$4,"")</f>
        <v/>
      </c>
      <c r="M40" s="36" t="str">
        <f aca="false">IF(M38&gt;=0,M$4,"")</f>
        <v/>
      </c>
      <c r="N40" s="36" t="str">
        <f aca="false">IF(N38&gt;=0,N$4,"")</f>
        <v/>
      </c>
      <c r="O40" s="36" t="str">
        <f aca="false">IF(O38&gt;=0,O$4,"")</f>
        <v/>
      </c>
      <c r="P40" s="36" t="str">
        <f aca="false">IF(P38&gt;=0,P$4,"")</f>
        <v/>
      </c>
      <c r="Q40" s="36" t="str">
        <f aca="false">IF(Q38&gt;=0,Q$4,"")</f>
        <v/>
      </c>
      <c r="R40" s="36" t="str">
        <f aca="false">IF(R38&gt;=0,R$4,"")</f>
        <v/>
      </c>
      <c r="S40" s="36" t="str">
        <f aca="false">IF(S38&gt;=0,S$4,"")</f>
        <v/>
      </c>
      <c r="T40" s="36" t="str">
        <f aca="false">IF(T38&gt;=0,T$4,"")</f>
        <v/>
      </c>
      <c r="U40" s="36" t="str">
        <f aca="false">IF(U38&gt;=0,U$4,"")</f>
        <v/>
      </c>
      <c r="V40" s="36" t="str">
        <f aca="false">IF(V38&gt;=0,V$4,"")</f>
        <v/>
      </c>
      <c r="W40" s="36" t="str">
        <f aca="false">IF(W38&gt;=0,W$4,"")</f>
        <v/>
      </c>
      <c r="X40" s="36" t="str">
        <f aca="false">IF(X38&gt;=0,X$4,"")</f>
        <v/>
      </c>
      <c r="Y40" s="36" t="str">
        <f aca="false">IF(Y38&gt;=0,Y$4,"")</f>
        <v/>
      </c>
      <c r="Z40" s="36" t="str">
        <f aca="false">IF(Z38&gt;=0,Z$4,"")</f>
        <v/>
      </c>
      <c r="AA40" s="36" t="str">
        <f aca="false">IF(AA38&gt;=0,AA$4,"")</f>
        <v/>
      </c>
      <c r="AB40" s="36" t="str">
        <f aca="false">IF(AB38&gt;=0,AB$4,"")</f>
        <v/>
      </c>
      <c r="AC40" s="36" t="str">
        <f aca="false">IF(AC38&gt;=0,AC$4,"")</f>
        <v/>
      </c>
      <c r="AD40" s="36" t="str">
        <f aca="false">IF(AD38&gt;=0,AD$4,"")</f>
        <v/>
      </c>
      <c r="AE40" s="36" t="str">
        <f aca="false">IF(AE38&gt;=0,AE$4,"")</f>
        <v/>
      </c>
      <c r="AF40" s="36" t="str">
        <f aca="false">IF(AF38&gt;=0,AF$4,"")</f>
        <v/>
      </c>
      <c r="AG40" s="36" t="str">
        <f aca="false">IF(AG38&gt;=0,AG$4,"")</f>
        <v/>
      </c>
      <c r="AH40" s="36" t="str">
        <f aca="false">IF(AH38&gt;=0,AH$4,"")</f>
        <v/>
      </c>
      <c r="AI40" s="36" t="str">
        <f aca="false">IF(AI38&gt;=0,AI$4,"")</f>
        <v/>
      </c>
      <c r="AJ40" s="36" t="str">
        <f aca="false">IF(AJ38&gt;=0,AJ$4,"")</f>
        <v/>
      </c>
      <c r="AK40" s="36" t="str">
        <f aca="false">IF(AK38&gt;=0,AK$4,"")</f>
        <v/>
      </c>
      <c r="AL40" s="36" t="str">
        <f aca="false">IF(AL38&gt;=0,AL$4,"")</f>
        <v/>
      </c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customFormat="false" ht="15" hidden="false" customHeight="false" outlineLevel="0" collapsed="false">
      <c r="A43" s="4" t="s">
        <v>195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customFormat="false" ht="15" hidden="false" customHeight="false" outlineLevel="0" collapsed="false">
      <c r="A44" s="6" t="s">
        <v>164</v>
      </c>
      <c r="B44" s="3" t="s">
        <v>82</v>
      </c>
      <c r="C44" s="17" t="n">
        <f aca="false">CHOOSE(C$6,Допущения!$D$24,Допущения!$D$25,Допущения!$D$26)</f>
        <v>3</v>
      </c>
      <c r="D44" s="17" t="n">
        <f aca="false">CHOOSE(D$6,Допущения!$D$24,Допущения!$D$25,Допущения!$D$26)</f>
        <v>3</v>
      </c>
      <c r="E44" s="17" t="n">
        <f aca="false">CHOOSE(E$6,Допущения!$D$24,Допущения!$D$25,Допущения!$D$26)</f>
        <v>3</v>
      </c>
      <c r="F44" s="17" t="n">
        <f aca="false">CHOOSE(F$6,Допущения!$D$24,Допущения!$D$25,Допущения!$D$26)</f>
        <v>3</v>
      </c>
      <c r="G44" s="17" t="n">
        <f aca="false">CHOOSE(G$6,Допущения!$D$24,Допущения!$D$25,Допущения!$D$26)</f>
        <v>3</v>
      </c>
      <c r="H44" s="17" t="n">
        <f aca="false">CHOOSE(H$6,Допущения!$D$24,Допущения!$D$25,Допущения!$D$26)</f>
        <v>3</v>
      </c>
      <c r="I44" s="17" t="n">
        <f aca="false">CHOOSE(I$6,Допущения!$D$24,Допущения!$D$25,Допущения!$D$26)</f>
        <v>3</v>
      </c>
      <c r="J44" s="17" t="n">
        <f aca="false">CHOOSE(J$6,Допущения!$D$24,Допущения!$D$25,Допущения!$D$26)</f>
        <v>3</v>
      </c>
      <c r="K44" s="17" t="n">
        <f aca="false">CHOOSE(K$6,Допущения!$D$24,Допущения!$D$25,Допущения!$D$26)</f>
        <v>3</v>
      </c>
      <c r="L44" s="17" t="n">
        <f aca="false">CHOOSE(L$6,Допущения!$D$24,Допущения!$D$25,Допущения!$D$26)</f>
        <v>3</v>
      </c>
      <c r="M44" s="17" t="n">
        <f aca="false">CHOOSE(M$6,Допущения!$D$24,Допущения!$D$25,Допущения!$D$26)</f>
        <v>3</v>
      </c>
      <c r="N44" s="17" t="n">
        <f aca="false">CHOOSE(N$6,Допущения!$D$24,Допущения!$D$25,Допущения!$D$26)</f>
        <v>3</v>
      </c>
      <c r="O44" s="17" t="n">
        <f aca="false">CHOOSE(O$6,Допущения!$D$24,Допущения!$D$25,Допущения!$D$26)</f>
        <v>5</v>
      </c>
      <c r="P44" s="17" t="n">
        <f aca="false">CHOOSE(P$6,Допущения!$D$24,Допущения!$D$25,Допущения!$D$26)</f>
        <v>5</v>
      </c>
      <c r="Q44" s="17" t="n">
        <f aca="false">CHOOSE(Q$6,Допущения!$D$24,Допущения!$D$25,Допущения!$D$26)</f>
        <v>5</v>
      </c>
      <c r="R44" s="17" t="n">
        <f aca="false">CHOOSE(R$6,Допущения!$D$24,Допущения!$D$25,Допущения!$D$26)</f>
        <v>5</v>
      </c>
      <c r="S44" s="17" t="n">
        <f aca="false">CHOOSE(S$6,Допущения!$D$24,Допущения!$D$25,Допущения!$D$26)</f>
        <v>5</v>
      </c>
      <c r="T44" s="17" t="n">
        <f aca="false">CHOOSE(T$6,Допущения!$D$24,Допущения!$D$25,Допущения!$D$26)</f>
        <v>5</v>
      </c>
      <c r="U44" s="17" t="n">
        <f aca="false">CHOOSE(U$6,Допущения!$D$24,Допущения!$D$25,Допущения!$D$26)</f>
        <v>5</v>
      </c>
      <c r="V44" s="17" t="n">
        <f aca="false">CHOOSE(V$6,Допущения!$D$24,Допущения!$D$25,Допущения!$D$26)</f>
        <v>5</v>
      </c>
      <c r="W44" s="17" t="n">
        <f aca="false">CHOOSE(W$6,Допущения!$D$24,Допущения!$D$25,Допущения!$D$26)</f>
        <v>5</v>
      </c>
      <c r="X44" s="17" t="n">
        <f aca="false">CHOOSE(X$6,Допущения!$D$24,Допущения!$D$25,Допущения!$D$26)</f>
        <v>5</v>
      </c>
      <c r="Y44" s="17" t="n">
        <f aca="false">CHOOSE(Y$6,Допущения!$D$24,Допущения!$D$25,Допущения!$D$26)</f>
        <v>5</v>
      </c>
      <c r="Z44" s="17" t="n">
        <f aca="false">CHOOSE(Z$6,Допущения!$D$24,Допущения!$D$25,Допущения!$D$26)</f>
        <v>5</v>
      </c>
      <c r="AA44" s="17" t="n">
        <f aca="false">CHOOSE(AA$6,Допущения!$D$24,Допущения!$D$25,Допущения!$D$26)</f>
        <v>7</v>
      </c>
      <c r="AB44" s="17" t="n">
        <f aca="false">CHOOSE(AB$6,Допущения!$D$24,Допущения!$D$25,Допущения!$D$26)</f>
        <v>7</v>
      </c>
      <c r="AC44" s="17" t="n">
        <f aca="false">CHOOSE(AC$6,Допущения!$D$24,Допущения!$D$25,Допущения!$D$26)</f>
        <v>7</v>
      </c>
      <c r="AD44" s="17" t="n">
        <f aca="false">CHOOSE(AD$6,Допущения!$D$24,Допущения!$D$25,Допущения!$D$26)</f>
        <v>7</v>
      </c>
      <c r="AE44" s="17" t="n">
        <f aca="false">CHOOSE(AE$6,Допущения!$D$24,Допущения!$D$25,Допущения!$D$26)</f>
        <v>7</v>
      </c>
      <c r="AF44" s="17" t="n">
        <f aca="false">CHOOSE(AF$6,Допущения!$D$24,Допущения!$D$25,Допущения!$D$26)</f>
        <v>7</v>
      </c>
      <c r="AG44" s="17" t="n">
        <f aca="false">CHOOSE(AG$6,Допущения!$D$24,Допущения!$D$25,Допущения!$D$26)</f>
        <v>7</v>
      </c>
      <c r="AH44" s="17" t="n">
        <f aca="false">CHOOSE(AH$6,Допущения!$D$24,Допущения!$D$25,Допущения!$D$26)</f>
        <v>7</v>
      </c>
      <c r="AI44" s="17" t="n">
        <f aca="false">CHOOSE(AI$6,Допущения!$D$24,Допущения!$D$25,Допущения!$D$26)</f>
        <v>7</v>
      </c>
      <c r="AJ44" s="17" t="n">
        <f aca="false">CHOOSE(AJ$6,Допущения!$D$24,Допущения!$D$25,Допущения!$D$26)</f>
        <v>7</v>
      </c>
      <c r="AK44" s="17" t="n">
        <f aca="false">CHOOSE(AK$6,Допущения!$D$24,Допущения!$D$25,Допущения!$D$26)</f>
        <v>7</v>
      </c>
      <c r="AL44" s="17" t="n">
        <f aca="false">CHOOSE(AL$6,Допущения!$D$24,Допущения!$D$25,Допущения!$D$26)</f>
        <v>7</v>
      </c>
    </row>
    <row r="45" customFormat="false" ht="15" hidden="false" customHeight="false" outlineLevel="0" collapsed="false">
      <c r="A45" s="6" t="s">
        <v>165</v>
      </c>
      <c r="B45" s="3" t="s">
        <v>82</v>
      </c>
      <c r="C45" s="17" t="n">
        <f aca="false">0</f>
        <v>0</v>
      </c>
      <c r="D45" s="17" t="n">
        <f aca="false">C46*Допущения!$D$27</f>
        <v>0.135</v>
      </c>
      <c r="E45" s="17" t="n">
        <f aca="false">D46*Допущения!$D$27</f>
        <v>0.263925</v>
      </c>
      <c r="F45" s="17" t="n">
        <f aca="false">E46*Допущения!$D$27</f>
        <v>0.387048375</v>
      </c>
      <c r="G45" s="17" t="n">
        <f aca="false">F46*Допущения!$D$27</f>
        <v>0.504631198125</v>
      </c>
      <c r="H45" s="17" t="n">
        <f aca="false">G46*Допущения!$D$27</f>
        <v>0.616922794209375</v>
      </c>
      <c r="I45" s="17" t="n">
        <f aca="false">H46*Допущения!$D$27</f>
        <v>0.724161268469953</v>
      </c>
      <c r="J45" s="17" t="n">
        <f aca="false">I46*Допущения!$D$27</f>
        <v>0.826574011388805</v>
      </c>
      <c r="K45" s="17" t="n">
        <f aca="false">J46*Допущения!$D$27</f>
        <v>0.924378180876309</v>
      </c>
      <c r="L45" s="17" t="n">
        <f aca="false">K46*Допущения!$D$27</f>
        <v>1.01778116273688</v>
      </c>
      <c r="M45" s="17" t="n">
        <f aca="false">L46*Допущения!$D$27</f>
        <v>1.10698101041372</v>
      </c>
      <c r="N45" s="17" t="n">
        <f aca="false">M46*Допущения!$D$27</f>
        <v>1.1921668649451</v>
      </c>
      <c r="O45" s="17" t="n">
        <f aca="false">N46*Допущения!$D$27</f>
        <v>1.27351935602257</v>
      </c>
      <c r="P45" s="17" t="n">
        <f aca="false">O46*Допущения!$D$27</f>
        <v>1.44121098500155</v>
      </c>
      <c r="Q45" s="17" t="n">
        <f aca="false">P46*Допущения!$D$27</f>
        <v>1.60135649067648</v>
      </c>
      <c r="R45" s="17" t="n">
        <f aca="false">Q46*Допущения!$D$27</f>
        <v>1.75429544859604</v>
      </c>
      <c r="S45" s="17" t="n">
        <f aca="false">R46*Допущения!$D$27</f>
        <v>1.90035215340922</v>
      </c>
      <c r="T45" s="17" t="n">
        <f aca="false">S46*Допущения!$D$27</f>
        <v>2.03983630650581</v>
      </c>
      <c r="U45" s="17" t="n">
        <f aca="false">T46*Допущения!$D$27</f>
        <v>2.17304367271304</v>
      </c>
      <c r="V45" s="17" t="n">
        <f aca="false">U46*Допущения!$D$27</f>
        <v>2.30025670744096</v>
      </c>
      <c r="W45" s="17" t="n">
        <f aca="false">V46*Допущения!$D$27</f>
        <v>2.42174515560611</v>
      </c>
      <c r="X45" s="17" t="n">
        <f aca="false">W46*Допущения!$D$27</f>
        <v>2.53776662360384</v>
      </c>
      <c r="Y45" s="17" t="n">
        <f aca="false">X46*Допущения!$D$27</f>
        <v>2.64856712554167</v>
      </c>
      <c r="Z45" s="17" t="n">
        <f aca="false">Y46*Допущения!$D$27</f>
        <v>2.75438160489229</v>
      </c>
      <c r="AA45" s="17" t="n">
        <f aca="false">Z46*Допущения!$D$27</f>
        <v>2.85543443267214</v>
      </c>
      <c r="AB45" s="17" t="n">
        <f aca="false">AA46*Допущения!$D$27</f>
        <v>3.04193988320189</v>
      </c>
      <c r="AC45" s="17" t="n">
        <f aca="false">AB46*Допущения!$D$27</f>
        <v>3.22005258845781</v>
      </c>
      <c r="AD45" s="17" t="n">
        <f aca="false">AC46*Допущения!$D$27</f>
        <v>3.39015022197721</v>
      </c>
      <c r="AE45" s="17" t="n">
        <f aca="false">AD46*Допущения!$D$27</f>
        <v>3.55259346198823</v>
      </c>
      <c r="AF45" s="17" t="n">
        <f aca="false">AE46*Допущения!$D$27</f>
        <v>3.70772675619876</v>
      </c>
      <c r="AG45" s="17" t="n">
        <f aca="false">AF46*Допущения!$D$27</f>
        <v>3.85587905216982</v>
      </c>
      <c r="AH45" s="17" t="n">
        <f aca="false">AG46*Допущения!$D$27</f>
        <v>3.99736449482217</v>
      </c>
      <c r="AI45" s="17" t="n">
        <f aca="false">AH46*Допущения!$D$27</f>
        <v>4.13248309255518</v>
      </c>
      <c r="AJ45" s="17" t="n">
        <f aca="false">AI46*Допущения!$D$27</f>
        <v>4.26152135339019</v>
      </c>
      <c r="AK45" s="17" t="n">
        <f aca="false">AJ46*Допущения!$D$27</f>
        <v>4.38475289248764</v>
      </c>
      <c r="AL45" s="17" t="n">
        <f aca="false">AK46*Допущения!$D$27</f>
        <v>4.50243901232569</v>
      </c>
    </row>
    <row r="46" customFormat="false" ht="15" hidden="false" customHeight="false" outlineLevel="0" collapsed="false">
      <c r="A46" s="6" t="s">
        <v>166</v>
      </c>
      <c r="B46" s="3" t="s">
        <v>82</v>
      </c>
      <c r="C46" s="17" t="n">
        <f aca="false">C44</f>
        <v>3</v>
      </c>
      <c r="D46" s="17" t="n">
        <f aca="false">C46+D44-D45</f>
        <v>5.865</v>
      </c>
      <c r="E46" s="17" t="n">
        <f aca="false">D46+E44-E45</f>
        <v>8.601075</v>
      </c>
      <c r="F46" s="17" t="n">
        <f aca="false">E46+F44-F45</f>
        <v>11.214026625</v>
      </c>
      <c r="G46" s="17" t="n">
        <f aca="false">F46+G44-G45</f>
        <v>13.709395426875</v>
      </c>
      <c r="H46" s="17" t="n">
        <f aca="false">G46+H44-H45</f>
        <v>16.0924726326656</v>
      </c>
      <c r="I46" s="17" t="n">
        <f aca="false">H46+I44-I45</f>
        <v>18.3683113641957</v>
      </c>
      <c r="J46" s="17" t="n">
        <f aca="false">I46+J44-J45</f>
        <v>20.5417373528069</v>
      </c>
      <c r="K46" s="17" t="n">
        <f aca="false">J46+K44-K45</f>
        <v>22.6173591719306</v>
      </c>
      <c r="L46" s="17" t="n">
        <f aca="false">K46+L44-L45</f>
        <v>24.5995780091937</v>
      </c>
      <c r="M46" s="17" t="n">
        <f aca="false">L46+M44-M45</f>
        <v>26.49259699878</v>
      </c>
      <c r="N46" s="17" t="n">
        <f aca="false">M46+N44-N45</f>
        <v>28.3004301338349</v>
      </c>
      <c r="O46" s="17" t="n">
        <f aca="false">N46+O44-O45</f>
        <v>32.0269107778123</v>
      </c>
      <c r="P46" s="17" t="n">
        <f aca="false">O46+P44-P45</f>
        <v>35.5856997928107</v>
      </c>
      <c r="Q46" s="17" t="n">
        <f aca="false">P46+Q44-Q45</f>
        <v>38.9843433021343</v>
      </c>
      <c r="R46" s="17" t="n">
        <f aca="false">Q46+R44-R45</f>
        <v>42.2300478535382</v>
      </c>
      <c r="S46" s="17" t="n">
        <f aca="false">R46+S44-S45</f>
        <v>45.329695700129</v>
      </c>
      <c r="T46" s="17" t="n">
        <f aca="false">S46+T44-T45</f>
        <v>48.2898593936232</v>
      </c>
      <c r="U46" s="17" t="n">
        <f aca="false">T46+U44-U45</f>
        <v>51.1168157209102</v>
      </c>
      <c r="V46" s="17" t="n">
        <f aca="false">U46+V44-V45</f>
        <v>53.8165590134692</v>
      </c>
      <c r="W46" s="17" t="n">
        <f aca="false">V46+W44-W45</f>
        <v>56.3948138578631</v>
      </c>
      <c r="X46" s="17" t="n">
        <f aca="false">W46+X44-X45</f>
        <v>58.8570472342593</v>
      </c>
      <c r="Y46" s="17" t="n">
        <f aca="false">X46+Y44-Y45</f>
        <v>61.2084801087176</v>
      </c>
      <c r="Z46" s="17" t="n">
        <f aca="false">Y46+Z44-Z45</f>
        <v>63.4540985038253</v>
      </c>
      <c r="AA46" s="17" t="n">
        <f aca="false">Z46+AA44-AA45</f>
        <v>67.5986640711532</v>
      </c>
      <c r="AB46" s="17" t="n">
        <f aca="false">AA46+AB44-AB45</f>
        <v>71.5567241879513</v>
      </c>
      <c r="AC46" s="17" t="n">
        <f aca="false">AB46+AC44-AC45</f>
        <v>75.3366715994935</v>
      </c>
      <c r="AD46" s="17" t="n">
        <f aca="false">AC46+AD44-AD45</f>
        <v>78.9465213775163</v>
      </c>
      <c r="AE46" s="17" t="n">
        <f aca="false">AD46+AE44-AE45</f>
        <v>82.393927915528</v>
      </c>
      <c r="AF46" s="17" t="n">
        <f aca="false">AE46+AF44-AF45</f>
        <v>85.6862011593292</v>
      </c>
      <c r="AG46" s="17" t="n">
        <f aca="false">AF46+AG44-AG45</f>
        <v>88.8303221071594</v>
      </c>
      <c r="AH46" s="17" t="n">
        <f aca="false">AG46+AH44-AH45</f>
        <v>91.8329576123373</v>
      </c>
      <c r="AI46" s="17" t="n">
        <f aca="false">AH46+AI44-AI45</f>
        <v>94.7004745197821</v>
      </c>
      <c r="AJ46" s="17" t="n">
        <f aca="false">AI46+AJ44-AJ45</f>
        <v>97.4389531663919</v>
      </c>
      <c r="AK46" s="17" t="n">
        <f aca="false">AJ46+AK44-AK45</f>
        <v>100.054200273904</v>
      </c>
      <c r="AL46" s="17" t="n">
        <f aca="false">AK46+AL44-AL45</f>
        <v>102.551761261579</v>
      </c>
    </row>
    <row r="47" customFormat="false" ht="15" hidden="false" customHeight="false" outlineLevel="0" collapsed="false">
      <c r="A47" s="6" t="s">
        <v>167</v>
      </c>
      <c r="B47" s="3" t="s">
        <v>82</v>
      </c>
      <c r="C47" s="17" t="n">
        <f aca="false">C46*Допущения!$D$28*C$7</f>
        <v>2.88</v>
      </c>
      <c r="D47" s="17" t="n">
        <f aca="false">D46*Допущения!$D$28*D$7</f>
        <v>4.2228</v>
      </c>
      <c r="E47" s="17" t="n">
        <f aca="false">E46*Допущения!$D$28*E$7</f>
        <v>6.192774</v>
      </c>
      <c r="F47" s="17" t="n">
        <f aca="false">F46*Допущения!$D$28*F$7</f>
        <v>13.45683195</v>
      </c>
      <c r="G47" s="17" t="n">
        <f aca="false">G46*Допущения!$D$28*G$7</f>
        <v>18.096401963475</v>
      </c>
      <c r="H47" s="17" t="n">
        <f aca="false">H46*Допущения!$D$28*H$7</f>
        <v>23.1731605910385</v>
      </c>
      <c r="I47" s="17" t="n">
        <f aca="false">I46*Допущения!$D$28*I$7</f>
        <v>28.6545657281452</v>
      </c>
      <c r="J47" s="17" t="n">
        <f aca="false">J46*Допущения!$D$28*J$7</f>
        <v>19.7200678586946</v>
      </c>
      <c r="K47" s="17" t="n">
        <f aca="false">K46*Допущения!$D$28*K$7</f>
        <v>24.426747905685</v>
      </c>
      <c r="L47" s="17" t="n">
        <f aca="false">L46*Допущения!$D$28*L$7</f>
        <v>29.5194936110324</v>
      </c>
      <c r="M47" s="17" t="n">
        <f aca="false">M46*Допущения!$D$28*M$7</f>
        <v>31.791116398536</v>
      </c>
      <c r="N47" s="17" t="n">
        <f aca="false">N46*Допущения!$D$28*N$7</f>
        <v>33.9605161606018</v>
      </c>
      <c r="O47" s="17" t="n">
        <f aca="false">O46*Допущения!$D$28*O$7</f>
        <v>30.7458343466998</v>
      </c>
      <c r="P47" s="17" t="n">
        <f aca="false">P46*Допущения!$D$28*P$7</f>
        <v>25.6217038508237</v>
      </c>
      <c r="Q47" s="17" t="n">
        <f aca="false">Q46*Допущения!$D$28*Q$7</f>
        <v>28.0687271775367</v>
      </c>
      <c r="R47" s="17" t="n">
        <f aca="false">R46*Допущения!$D$28*R$7</f>
        <v>50.6760574242459</v>
      </c>
      <c r="S47" s="17" t="n">
        <f aca="false">S46*Допущения!$D$28*S$7</f>
        <v>59.8351983241703</v>
      </c>
      <c r="T47" s="17" t="n">
        <f aca="false">T46*Допущения!$D$28*T$7</f>
        <v>69.5373975268174</v>
      </c>
      <c r="U47" s="17" t="n">
        <f aca="false">U46*Допущения!$D$28*U$7</f>
        <v>79.7422325246198</v>
      </c>
      <c r="V47" s="17" t="n">
        <f aca="false">V46*Допущения!$D$28*V$7</f>
        <v>51.6638966529304</v>
      </c>
      <c r="W47" s="17" t="n">
        <f aca="false">W46*Допущения!$D$28*W$7</f>
        <v>60.9063989664921</v>
      </c>
      <c r="X47" s="17" t="n">
        <f aca="false">X46*Допущения!$D$28*X$7</f>
        <v>70.6284566811111</v>
      </c>
      <c r="Y47" s="17" t="n">
        <f aca="false">Y46*Допущения!$D$28*Y$7</f>
        <v>73.4501761304611</v>
      </c>
      <c r="Z47" s="17" t="n">
        <f aca="false">Z46*Допущения!$D$28*Z$7</f>
        <v>76.1449182045904</v>
      </c>
      <c r="AA47" s="17" t="n">
        <f aca="false">AA46*Допущения!$D$28*AA$7</f>
        <v>64.894717508307</v>
      </c>
      <c r="AB47" s="17" t="n">
        <f aca="false">AB46*Допущения!$D$28*AB$7</f>
        <v>51.5208414153249</v>
      </c>
      <c r="AC47" s="17" t="n">
        <f aca="false">AC46*Допущения!$D$28*AC$7</f>
        <v>54.2424035516353</v>
      </c>
      <c r="AD47" s="17" t="n">
        <f aca="false">AD46*Допущения!$D$28*AD$7</f>
        <v>94.7358256530195</v>
      </c>
      <c r="AE47" s="17" t="n">
        <f aca="false">AE46*Допущения!$D$28*AE$7</f>
        <v>108.759984848497</v>
      </c>
      <c r="AF47" s="17" t="n">
        <f aca="false">AF46*Допущения!$D$28*AF$7</f>
        <v>123.388129669434</v>
      </c>
      <c r="AG47" s="17" t="n">
        <f aca="false">AG46*Допущения!$D$28*AG$7</f>
        <v>138.575302487169</v>
      </c>
      <c r="AH47" s="17" t="n">
        <f aca="false">AH46*Допущения!$D$28*AH$7</f>
        <v>88.1596393078438</v>
      </c>
      <c r="AI47" s="17" t="n">
        <f aca="false">AI46*Допущения!$D$28*AI$7</f>
        <v>102.276512481365</v>
      </c>
      <c r="AJ47" s="17" t="n">
        <f aca="false">AJ46*Допущения!$D$28*AJ$7</f>
        <v>116.92674379967</v>
      </c>
      <c r="AK47" s="17" t="n">
        <f aca="false">AK46*Допущения!$D$28*AK$7</f>
        <v>120.065040328685</v>
      </c>
      <c r="AL47" s="17" t="n">
        <f aca="false">AL46*Допущения!$D$28*AL$7</f>
        <v>123.062113513894</v>
      </c>
    </row>
    <row r="48" customFormat="false" ht="15" hidden="false" customHeight="false" outlineLevel="0" collapsed="false">
      <c r="A48" s="6" t="s">
        <v>168</v>
      </c>
      <c r="B48" s="3" t="s">
        <v>82</v>
      </c>
      <c r="C48" s="14" t="n">
        <f aca="false">C47*Допущения!$D$29</f>
        <v>316.8</v>
      </c>
      <c r="D48" s="14" t="n">
        <f aca="false">D47*Допущения!$D$29</f>
        <v>464.508</v>
      </c>
      <c r="E48" s="14" t="n">
        <f aca="false">E47*Допущения!$D$29</f>
        <v>681.20514</v>
      </c>
      <c r="F48" s="14" t="n">
        <f aca="false">F47*Допущения!$D$29</f>
        <v>1480.2515145</v>
      </c>
      <c r="G48" s="14" t="n">
        <f aca="false">G47*Допущения!$D$29</f>
        <v>1990.60421598225</v>
      </c>
      <c r="H48" s="14" t="n">
        <f aca="false">H47*Допущения!$D$29</f>
        <v>2549.04766501423</v>
      </c>
      <c r="I48" s="14" t="n">
        <f aca="false">I47*Допущения!$D$29</f>
        <v>3152.00223009598</v>
      </c>
      <c r="J48" s="14" t="n">
        <f aca="false">J47*Допущения!$D$29</f>
        <v>2169.20746445641</v>
      </c>
      <c r="K48" s="14" t="n">
        <f aca="false">K47*Допущения!$D$29</f>
        <v>2686.94226962535</v>
      </c>
      <c r="L48" s="14" t="n">
        <f aca="false">L47*Допущения!$D$29</f>
        <v>3247.14429721357</v>
      </c>
      <c r="M48" s="14" t="n">
        <f aca="false">M47*Допущения!$D$29</f>
        <v>3497.02280383896</v>
      </c>
      <c r="N48" s="14" t="n">
        <f aca="false">N47*Допущения!$D$29</f>
        <v>3735.6567776662</v>
      </c>
      <c r="O48" s="14" t="n">
        <f aca="false">O47*Допущения!$D$29</f>
        <v>3382.04177813698</v>
      </c>
      <c r="P48" s="14" t="n">
        <f aca="false">P47*Допущения!$D$29</f>
        <v>2818.38742359061</v>
      </c>
      <c r="Q48" s="14" t="n">
        <f aca="false">Q47*Допущения!$D$29</f>
        <v>3087.55998952903</v>
      </c>
      <c r="R48" s="14" t="n">
        <f aca="false">R47*Допущения!$D$29</f>
        <v>5574.36631666705</v>
      </c>
      <c r="S48" s="14" t="n">
        <f aca="false">S47*Допущения!$D$29</f>
        <v>6581.87181565873</v>
      </c>
      <c r="T48" s="14" t="n">
        <f aca="false">T47*Допущения!$D$29</f>
        <v>7649.11372794991</v>
      </c>
      <c r="U48" s="14" t="n">
        <f aca="false">U47*Допущения!$D$29</f>
        <v>8771.64557770818</v>
      </c>
      <c r="V48" s="14" t="n">
        <f aca="false">V47*Допущения!$D$29</f>
        <v>5683.02863182235</v>
      </c>
      <c r="W48" s="14" t="n">
        <f aca="false">W47*Допущения!$D$29</f>
        <v>6699.70388631413</v>
      </c>
      <c r="X48" s="14" t="n">
        <f aca="false">X47*Допущения!$D$29</f>
        <v>7769.13023492222</v>
      </c>
      <c r="Y48" s="14" t="n">
        <f aca="false">Y47*Допущения!$D$29</f>
        <v>8079.51937435072</v>
      </c>
      <c r="Z48" s="14" t="n">
        <f aca="false">Z47*Допущения!$D$29</f>
        <v>8375.94100250494</v>
      </c>
      <c r="AA48" s="14" t="n">
        <f aca="false">AA47*Допущения!$D$29</f>
        <v>7138.41892591377</v>
      </c>
      <c r="AB48" s="14" t="n">
        <f aca="false">AB47*Допущения!$D$29</f>
        <v>5667.29255568574</v>
      </c>
      <c r="AC48" s="14" t="n">
        <f aca="false">AC47*Допущения!$D$29</f>
        <v>5966.66439067988</v>
      </c>
      <c r="AD48" s="14" t="n">
        <f aca="false">AD47*Допущения!$D$29</f>
        <v>10420.9408218321</v>
      </c>
      <c r="AE48" s="14" t="n">
        <f aca="false">AE47*Допущения!$D$29</f>
        <v>11963.5983333347</v>
      </c>
      <c r="AF48" s="14" t="n">
        <f aca="false">AF47*Допущения!$D$29</f>
        <v>13572.6942636378</v>
      </c>
      <c r="AG48" s="14" t="n">
        <f aca="false">AG47*Допущения!$D$29</f>
        <v>15243.2832735886</v>
      </c>
      <c r="AH48" s="14" t="n">
        <f aca="false">AH47*Допущения!$D$29</f>
        <v>9697.56032386281</v>
      </c>
      <c r="AI48" s="14" t="n">
        <f aca="false">AI47*Допущения!$D$29</f>
        <v>11250.4163729501</v>
      </c>
      <c r="AJ48" s="14" t="n">
        <f aca="false">AJ47*Допущения!$D$29</f>
        <v>12861.9418179637</v>
      </c>
      <c r="AK48" s="14" t="n">
        <f aca="false">AK47*Допущения!$D$29</f>
        <v>13207.1544361554</v>
      </c>
      <c r="AL48" s="14" t="n">
        <f aca="false">AL47*Допущения!$D$29</f>
        <v>13536.8324865284</v>
      </c>
    </row>
    <row r="49" customFormat="false" ht="15" hidden="false" customHeight="false" outlineLevel="0" collapsed="false">
      <c r="A49" s="6" t="s">
        <v>169</v>
      </c>
      <c r="B49" s="3" t="s">
        <v>82</v>
      </c>
      <c r="C49" s="14" t="n">
        <f aca="false">C48*(1-Допущения!$C$12)</f>
        <v>285.12</v>
      </c>
      <c r="D49" s="14" t="n">
        <f aca="false">D48*(1-Допущения!$C$12)</f>
        <v>418.0572</v>
      </c>
      <c r="E49" s="14" t="n">
        <f aca="false">E48*(1-Допущения!$C$12)</f>
        <v>613.084626</v>
      </c>
      <c r="F49" s="14" t="n">
        <f aca="false">F48*(1-Допущения!$C$12)</f>
        <v>1332.22636305</v>
      </c>
      <c r="G49" s="14" t="n">
        <f aca="false">G48*(1-Допущения!$C$12)</f>
        <v>1791.54379438403</v>
      </c>
      <c r="H49" s="14" t="n">
        <f aca="false">H48*(1-Допущения!$C$12)</f>
        <v>2294.14289851281</v>
      </c>
      <c r="I49" s="14" t="n">
        <f aca="false">I48*(1-Допущения!$C$12)</f>
        <v>2836.80200708638</v>
      </c>
      <c r="J49" s="14" t="n">
        <f aca="false">J48*(1-Допущения!$C$12)</f>
        <v>1952.28671801076</v>
      </c>
      <c r="K49" s="14" t="n">
        <f aca="false">K48*(1-Допущения!$C$12)</f>
        <v>2418.24804266282</v>
      </c>
      <c r="L49" s="14" t="n">
        <f aca="false">L48*(1-Допущения!$C$12)</f>
        <v>2922.42986749221</v>
      </c>
      <c r="M49" s="14" t="n">
        <f aca="false">M48*(1-Допущения!$C$12)</f>
        <v>3147.32052345506</v>
      </c>
      <c r="N49" s="14" t="n">
        <f aca="false">N48*(1-Допущения!$C$12)</f>
        <v>3362.09109989958</v>
      </c>
      <c r="O49" s="14" t="n">
        <f aca="false">O48*(1-Допущения!$C$12)</f>
        <v>3043.83760032328</v>
      </c>
      <c r="P49" s="14" t="n">
        <f aca="false">P48*(1-Допущения!$C$12)</f>
        <v>2536.54868123155</v>
      </c>
      <c r="Q49" s="14" t="n">
        <f aca="false">Q48*(1-Допущения!$C$12)</f>
        <v>2778.80399057613</v>
      </c>
      <c r="R49" s="14" t="n">
        <f aca="false">R48*(1-Допущения!$C$12)</f>
        <v>5016.92968500034</v>
      </c>
      <c r="S49" s="14" t="n">
        <f aca="false">S48*(1-Допущения!$C$12)</f>
        <v>5923.68463409286</v>
      </c>
      <c r="T49" s="14" t="n">
        <f aca="false">T48*(1-Допущения!$C$12)</f>
        <v>6884.20235515492</v>
      </c>
      <c r="U49" s="14" t="n">
        <f aca="false">U48*(1-Допущения!$C$12)</f>
        <v>7894.48101993737</v>
      </c>
      <c r="V49" s="14" t="n">
        <f aca="false">V48*(1-Допущения!$C$12)</f>
        <v>5114.72576864011</v>
      </c>
      <c r="W49" s="14" t="n">
        <f aca="false">W48*(1-Допущения!$C$12)</f>
        <v>6029.73349768272</v>
      </c>
      <c r="X49" s="14" t="n">
        <f aca="false">X48*(1-Допущения!$C$12)</f>
        <v>6992.21721143</v>
      </c>
      <c r="Y49" s="14" t="n">
        <f aca="false">Y48*(1-Допущения!$C$12)</f>
        <v>7271.56743691565</v>
      </c>
      <c r="Z49" s="14" t="n">
        <f aca="false">Z48*(1-Допущения!$C$12)</f>
        <v>7538.34690225445</v>
      </c>
      <c r="AA49" s="14" t="n">
        <f aca="false">AA48*(1-Допущения!$C$12)</f>
        <v>6424.5770333224</v>
      </c>
      <c r="AB49" s="14" t="n">
        <f aca="false">AB48*(1-Допущения!$C$12)</f>
        <v>5100.56330011717</v>
      </c>
      <c r="AC49" s="14" t="n">
        <f aca="false">AC48*(1-Допущения!$C$12)</f>
        <v>5369.99795161189</v>
      </c>
      <c r="AD49" s="14" t="n">
        <f aca="false">AD48*(1-Допущения!$C$12)</f>
        <v>9378.84673964893</v>
      </c>
      <c r="AE49" s="14" t="n">
        <f aca="false">AE48*(1-Допущения!$C$12)</f>
        <v>10767.2385000012</v>
      </c>
      <c r="AF49" s="14" t="n">
        <f aca="false">AF48*(1-Допущения!$C$12)</f>
        <v>12215.424837274</v>
      </c>
      <c r="AG49" s="14" t="n">
        <f aca="false">AG48*(1-Допущения!$C$12)</f>
        <v>13718.9549462297</v>
      </c>
      <c r="AH49" s="14" t="n">
        <f aca="false">AH48*(1-Допущения!$C$12)</f>
        <v>8727.80429147653</v>
      </c>
      <c r="AI49" s="14" t="n">
        <f aca="false">AI48*(1-Допущения!$C$12)</f>
        <v>10125.3747356551</v>
      </c>
      <c r="AJ49" s="14" t="n">
        <f aca="false">AJ48*(1-Допущения!$C$12)</f>
        <v>11575.7476361674</v>
      </c>
      <c r="AK49" s="14" t="n">
        <f aca="false">AK48*(1-Допущения!$C$12)</f>
        <v>11886.4389925398</v>
      </c>
      <c r="AL49" s="14" t="n">
        <f aca="false">AL48*(1-Допущения!$C$12)</f>
        <v>12183.1492378755</v>
      </c>
    </row>
    <row r="50" customFormat="false" ht="15" hidden="false" customHeight="false" outlineLevel="0" collapsed="false">
      <c r="A50" s="6" t="s">
        <v>170</v>
      </c>
      <c r="B50" s="3" t="s">
        <v>85</v>
      </c>
      <c r="C50" s="14" t="n">
        <f aca="false">C49*Допущения!$D$22</f>
        <v>1710720</v>
      </c>
      <c r="D50" s="14" t="n">
        <f aca="false">D49*Допущения!$D$22</f>
        <v>2508343.2</v>
      </c>
      <c r="E50" s="14" t="n">
        <f aca="false">E49*Допущения!$D$22</f>
        <v>3678507.756</v>
      </c>
      <c r="F50" s="14" t="n">
        <f aca="false">F49*Допущения!$D$22</f>
        <v>7993358.1783</v>
      </c>
      <c r="G50" s="14" t="n">
        <f aca="false">G49*Допущения!$D$22</f>
        <v>10749262.7663042</v>
      </c>
      <c r="H50" s="14" t="n">
        <f aca="false">H49*Допущения!$D$22</f>
        <v>13764857.3910769</v>
      </c>
      <c r="I50" s="14" t="n">
        <f aca="false">I49*Допущения!$D$22</f>
        <v>17020812.0425183</v>
      </c>
      <c r="J50" s="14" t="n">
        <f aca="false">J49*Допущения!$D$22</f>
        <v>11713720.3080646</v>
      </c>
      <c r="K50" s="14" t="n">
        <f aca="false">K49*Допущения!$D$22</f>
        <v>14509488.2559769</v>
      </c>
      <c r="L50" s="14" t="n">
        <f aca="false">L49*Допущения!$D$22</f>
        <v>17534579.2049533</v>
      </c>
      <c r="M50" s="14" t="n">
        <f aca="false">M49*Допущения!$D$22</f>
        <v>18883923.1407304</v>
      </c>
      <c r="N50" s="14" t="n">
        <f aca="false">N49*Допущения!$D$22</f>
        <v>20172546.5993975</v>
      </c>
      <c r="O50" s="14" t="n">
        <f aca="false">O49*Допущения!$D$22</f>
        <v>18263025.6019397</v>
      </c>
      <c r="P50" s="14" t="n">
        <f aca="false">P49*Допущения!$D$22</f>
        <v>15219292.0873893</v>
      </c>
      <c r="Q50" s="14" t="n">
        <f aca="false">Q49*Допущения!$D$22</f>
        <v>16672823.9434568</v>
      </c>
      <c r="R50" s="14" t="n">
        <f aca="false">R49*Допущения!$D$22</f>
        <v>30101578.1100021</v>
      </c>
      <c r="S50" s="14" t="n">
        <f aca="false">S49*Допущения!$D$22</f>
        <v>35542107.8045571</v>
      </c>
      <c r="T50" s="14" t="n">
        <f aca="false">T49*Допущения!$D$22</f>
        <v>41305214.1309295</v>
      </c>
      <c r="U50" s="14" t="n">
        <f aca="false">U49*Допущения!$D$22</f>
        <v>47366886.1196242</v>
      </c>
      <c r="V50" s="14" t="n">
        <f aca="false">V49*Допущения!$D$22</f>
        <v>30688354.6118407</v>
      </c>
      <c r="W50" s="14" t="n">
        <f aca="false">W49*Допущения!$D$22</f>
        <v>36178400.9860963</v>
      </c>
      <c r="X50" s="14" t="n">
        <f aca="false">X49*Допущения!$D$22</f>
        <v>41953303.26858</v>
      </c>
      <c r="Y50" s="14" t="n">
        <f aca="false">Y49*Допущения!$D$22</f>
        <v>43629404.6214939</v>
      </c>
      <c r="Z50" s="14" t="n">
        <f aca="false">Z49*Допущения!$D$22</f>
        <v>45230081.4135267</v>
      </c>
      <c r="AA50" s="14" t="n">
        <f aca="false">AA49*Допущения!$D$22</f>
        <v>38547462.1999344</v>
      </c>
      <c r="AB50" s="14" t="n">
        <f aca="false">AB49*Допущения!$D$22</f>
        <v>30603379.800703</v>
      </c>
      <c r="AC50" s="14" t="n">
        <f aca="false">AC49*Допущения!$D$22</f>
        <v>32219987.7096714</v>
      </c>
      <c r="AD50" s="14" t="n">
        <f aca="false">AD49*Допущения!$D$22</f>
        <v>56273080.4378936</v>
      </c>
      <c r="AE50" s="14" t="n">
        <f aca="false">AE49*Допущения!$D$22</f>
        <v>64603431.0000072</v>
      </c>
      <c r="AF50" s="14" t="n">
        <f aca="false">AF49*Допущения!$D$22</f>
        <v>73292549.0236439</v>
      </c>
      <c r="AG50" s="14" t="n">
        <f aca="false">AG49*Допущения!$D$22</f>
        <v>82313729.6773782</v>
      </c>
      <c r="AH50" s="14" t="n">
        <f aca="false">AH49*Допущения!$D$22</f>
        <v>52366825.7488592</v>
      </c>
      <c r="AI50" s="14" t="n">
        <f aca="false">AI49*Допущения!$D$22</f>
        <v>60752248.4139306</v>
      </c>
      <c r="AJ50" s="14" t="n">
        <f aca="false">AJ49*Допущения!$D$22</f>
        <v>69454485.8170041</v>
      </c>
      <c r="AK50" s="14" t="n">
        <f aca="false">AK49*Допущения!$D$22</f>
        <v>71318633.9552389</v>
      </c>
      <c r="AL50" s="14" t="n">
        <f aca="false">AL49*Допущения!$D$22</f>
        <v>73098895.4272532</v>
      </c>
    </row>
    <row r="51" customFormat="false" ht="15" hidden="false" customHeight="false" outlineLevel="0" collapsed="false">
      <c r="A51" s="6" t="s">
        <v>171</v>
      </c>
      <c r="B51" s="3" t="s">
        <v>85</v>
      </c>
      <c r="C51" s="14" t="n">
        <f aca="false">C50*(Допущения!$C$6+Допущения!$C$7)*(1-Допущения!$C$13)</f>
        <v>82969.92</v>
      </c>
      <c r="D51" s="14" t="n">
        <f aca="false">D50*(Допущения!$C$6+Допущения!$C$7)*(1-Допущения!$C$13)</f>
        <v>121654.6452</v>
      </c>
      <c r="E51" s="14" t="n">
        <f aca="false">E50*(Допущения!$C$6+Допущения!$C$7)*(1-Допущения!$C$13)</f>
        <v>178407.626166</v>
      </c>
      <c r="F51" s="14" t="n">
        <f aca="false">F50*(Допущения!$C$6+Допущения!$C$7)*(1-Допущения!$C$13)</f>
        <v>387677.87164755</v>
      </c>
      <c r="G51" s="14" t="n">
        <f aca="false">G50*(Допущения!$C$6+Допущения!$C$7)*(1-Допущения!$C$13)</f>
        <v>521339.244165751</v>
      </c>
      <c r="H51" s="14" t="n">
        <f aca="false">H50*(Допущения!$C$6+Допущения!$C$7)*(1-Допущения!$C$13)</f>
        <v>667595.583467228</v>
      </c>
      <c r="I51" s="14" t="n">
        <f aca="false">I50*(Допущения!$C$6+Допущения!$C$7)*(1-Допущения!$C$13)</f>
        <v>825509.384062136</v>
      </c>
      <c r="J51" s="14" t="n">
        <f aca="false">J50*(Допущения!$C$6+Допущения!$C$7)*(1-Допущения!$C$13)</f>
        <v>568115.434941133</v>
      </c>
      <c r="K51" s="14" t="n">
        <f aca="false">K50*(Допущения!$C$6+Допущения!$C$7)*(1-Допущения!$C$13)</f>
        <v>703710.180414879</v>
      </c>
      <c r="L51" s="14" t="n">
        <f aca="false">L50*(Допущения!$C$6+Допущения!$C$7)*(1-Допущения!$C$13)</f>
        <v>850427.091440233</v>
      </c>
      <c r="M51" s="14" t="n">
        <f aca="false">M50*(Допущения!$C$6+Допущения!$C$7)*(1-Допущения!$C$13)</f>
        <v>915870.272325422</v>
      </c>
      <c r="N51" s="14" t="n">
        <f aca="false">N50*(Допущения!$C$6+Допущения!$C$7)*(1-Допущения!$C$13)</f>
        <v>978368.510070779</v>
      </c>
      <c r="O51" s="14" t="n">
        <f aca="false">O50*(Допущения!$C$6+Допущения!$C$7)*(1-Допущения!$C$13)</f>
        <v>885756.741694075</v>
      </c>
      <c r="P51" s="14" t="n">
        <f aca="false">P50*(Допущения!$C$6+Допущения!$C$7)*(1-Допущения!$C$13)</f>
        <v>738135.666238381</v>
      </c>
      <c r="Q51" s="14" t="n">
        <f aca="false">Q50*(Допущения!$C$6+Допущения!$C$7)*(1-Допущения!$C$13)</f>
        <v>808631.961257654</v>
      </c>
      <c r="R51" s="14" t="n">
        <f aca="false">R50*(Допущения!$C$6+Допущения!$C$7)*(1-Допущения!$C$13)</f>
        <v>1459926.5383351</v>
      </c>
      <c r="S51" s="14" t="n">
        <f aca="false">S50*(Допущения!$C$6+Допущения!$C$7)*(1-Допущения!$C$13)</f>
        <v>1723792.22852102</v>
      </c>
      <c r="T51" s="14" t="n">
        <f aca="false">T50*(Допущения!$C$6+Допущения!$C$7)*(1-Допущения!$C$13)</f>
        <v>2003302.88535008</v>
      </c>
      <c r="U51" s="14" t="n">
        <f aca="false">U50*(Допущения!$C$6+Допущения!$C$7)*(1-Допущения!$C$13)</f>
        <v>2297293.97680177</v>
      </c>
      <c r="V51" s="14" t="n">
        <f aca="false">V50*(Допущения!$C$6+Допущения!$C$7)*(1-Допущения!$C$13)</f>
        <v>1488385.19867427</v>
      </c>
      <c r="W51" s="14" t="n">
        <f aca="false">W50*(Допущения!$C$6+Допущения!$C$7)*(1-Допущения!$C$13)</f>
        <v>1754652.44782567</v>
      </c>
      <c r="X51" s="14" t="n">
        <f aca="false">X50*(Допущения!$C$6+Допущения!$C$7)*(1-Допущения!$C$13)</f>
        <v>2034735.20852613</v>
      </c>
      <c r="Y51" s="14" t="n">
        <f aca="false">Y50*(Допущения!$C$6+Допущения!$C$7)*(1-Допущения!$C$13)</f>
        <v>2116026.12414245</v>
      </c>
      <c r="Z51" s="14" t="n">
        <f aca="false">Z50*(Допущения!$C$6+Допущения!$C$7)*(1-Допущения!$C$13)</f>
        <v>2193658.94855604</v>
      </c>
      <c r="AA51" s="14" t="n">
        <f aca="false">AA50*(Допущения!$C$6+Допущения!$C$7)*(1-Допущения!$C$13)</f>
        <v>1869551.91669682</v>
      </c>
      <c r="AB51" s="14" t="n">
        <f aca="false">AB50*(Допущения!$C$6+Допущения!$C$7)*(1-Допущения!$C$13)</f>
        <v>1484263.9203341</v>
      </c>
      <c r="AC51" s="14" t="n">
        <f aca="false">AC50*(Допущения!$C$6+Допущения!$C$7)*(1-Допущения!$C$13)</f>
        <v>1562669.40391906</v>
      </c>
      <c r="AD51" s="14" t="n">
        <f aca="false">AD50*(Допущения!$C$6+Допущения!$C$7)*(1-Допущения!$C$13)</f>
        <v>2729244.40123784</v>
      </c>
      <c r="AE51" s="14" t="n">
        <f aca="false">AE50*(Допущения!$C$6+Допущения!$C$7)*(1-Допущения!$C$13)</f>
        <v>3133266.40350035</v>
      </c>
      <c r="AF51" s="14" t="n">
        <f aca="false">AF50*(Допущения!$C$6+Допущения!$C$7)*(1-Допущения!$C$13)</f>
        <v>3554688.62764673</v>
      </c>
      <c r="AG51" s="14" t="n">
        <f aca="false">AG50*(Допущения!$C$6+Допущения!$C$7)*(1-Допущения!$C$13)</f>
        <v>3992215.88935284</v>
      </c>
      <c r="AH51" s="14" t="n">
        <f aca="false">AH50*(Допущения!$C$6+Допущения!$C$7)*(1-Допущения!$C$13)</f>
        <v>2539791.04881967</v>
      </c>
      <c r="AI51" s="14" t="n">
        <f aca="false">AI50*(Допущения!$C$6+Допущения!$C$7)*(1-Допущения!$C$13)</f>
        <v>2946484.04807563</v>
      </c>
      <c r="AJ51" s="14" t="n">
        <f aca="false">AJ50*(Допущения!$C$6+Допущения!$C$7)*(1-Допущения!$C$13)</f>
        <v>3368542.5621247</v>
      </c>
      <c r="AK51" s="14" t="n">
        <f aca="false">AK50*(Допущения!$C$6+Допущения!$C$7)*(1-Допущения!$C$13)</f>
        <v>3458953.74682909</v>
      </c>
      <c r="AL51" s="14" t="n">
        <f aca="false">AL50*(Допущения!$C$6+Допущения!$C$7)*(1-Допущения!$C$13)</f>
        <v>3545296.42822178</v>
      </c>
    </row>
    <row r="52" customFormat="false" ht="15" hidden="false" customHeight="false" outlineLevel="0" collapsed="false">
      <c r="A52" s="6" t="s">
        <v>172</v>
      </c>
      <c r="B52" s="3" t="s">
        <v>85</v>
      </c>
      <c r="C52" s="14" t="n">
        <f aca="false">C50*(1+Допущения!$C$6)*Допущения!$D$23</f>
        <v>35925.12</v>
      </c>
      <c r="D52" s="14" t="n">
        <f aca="false">D50*(1+Допущения!$C$6)*Допущения!$D$23</f>
        <v>52675.2072</v>
      </c>
      <c r="E52" s="14" t="n">
        <f aca="false">E50*(1+Допущения!$C$6)*Допущения!$D$23</f>
        <v>77248.662876</v>
      </c>
      <c r="F52" s="14" t="n">
        <f aca="false">F50*(1+Допущения!$C$6)*Допущения!$D$23</f>
        <v>167860.5217443</v>
      </c>
      <c r="G52" s="14" t="n">
        <f aca="false">G50*(1+Допущения!$C$6)*Допущения!$D$23</f>
        <v>225734.518092387</v>
      </c>
      <c r="H52" s="14" t="n">
        <f aca="false">H50*(1+Допущения!$C$6)*Допущения!$D$23</f>
        <v>289062.005212614</v>
      </c>
      <c r="I52" s="14" t="n">
        <f aca="false">I50*(1+Допущения!$C$6)*Допущения!$D$23</f>
        <v>357437.052892884</v>
      </c>
      <c r="J52" s="14" t="n">
        <f aca="false">J50*(1+Допущения!$C$6)*Допущения!$D$23</f>
        <v>245988.126469356</v>
      </c>
      <c r="K52" s="14" t="n">
        <f aca="false">K50*(1+Допущения!$C$6)*Допущения!$D$23</f>
        <v>304699.253375515</v>
      </c>
      <c r="L52" s="14" t="n">
        <f aca="false">L50*(1+Допущения!$C$6)*Допущения!$D$23</f>
        <v>368226.163304018</v>
      </c>
      <c r="M52" s="14" t="n">
        <f aca="false">M50*(1+Допущения!$C$6)*Допущения!$D$23</f>
        <v>396562.385955338</v>
      </c>
      <c r="N52" s="14" t="n">
        <f aca="false">N50*(1+Допущения!$C$6)*Допущения!$D$23</f>
        <v>423623.478587347</v>
      </c>
      <c r="O52" s="14" t="n">
        <f aca="false">O50*(1+Допущения!$C$6)*Допущения!$D$23</f>
        <v>383523.537640733</v>
      </c>
      <c r="P52" s="14" t="n">
        <f aca="false">P50*(1+Допущения!$C$6)*Допущения!$D$23</f>
        <v>319605.133835175</v>
      </c>
      <c r="Q52" s="14" t="n">
        <f aca="false">Q50*(1+Допущения!$C$6)*Допущения!$D$23</f>
        <v>350129.302812593</v>
      </c>
      <c r="R52" s="14" t="n">
        <f aca="false">R50*(1+Допущения!$C$6)*Допущения!$D$23</f>
        <v>632133.140310043</v>
      </c>
      <c r="S52" s="14" t="n">
        <f aca="false">S50*(1+Допущения!$C$6)*Допущения!$D$23</f>
        <v>746384.2638957</v>
      </c>
      <c r="T52" s="14" t="n">
        <f aca="false">T50*(1+Допущения!$C$6)*Допущения!$D$23</f>
        <v>867409.49674952</v>
      </c>
      <c r="U52" s="14" t="n">
        <f aca="false">U50*(1+Допущения!$C$6)*Допущения!$D$23</f>
        <v>994704.608512108</v>
      </c>
      <c r="V52" s="14" t="n">
        <f aca="false">V50*(1+Допущения!$C$6)*Допущения!$D$23</f>
        <v>644455.446848654</v>
      </c>
      <c r="W52" s="14" t="n">
        <f aca="false">W50*(1+Допущения!$C$6)*Допущения!$D$23</f>
        <v>759746.420708023</v>
      </c>
      <c r="X52" s="14" t="n">
        <f aca="false">X50*(1+Допущения!$C$6)*Допущения!$D$23</f>
        <v>881019.36864018</v>
      </c>
      <c r="Y52" s="14" t="n">
        <f aca="false">Y50*(1+Допущения!$C$6)*Допущения!$D$23</f>
        <v>916217.497051372</v>
      </c>
      <c r="Z52" s="14" t="n">
        <f aca="false">Z50*(1+Допущения!$C$6)*Допущения!$D$23</f>
        <v>949831.70968406</v>
      </c>
      <c r="AA52" s="14" t="n">
        <f aca="false">AA50*(1+Допущения!$C$6)*Допущения!$D$23</f>
        <v>809496.706198622</v>
      </c>
      <c r="AB52" s="14" t="n">
        <f aca="false">AB50*(1+Допущения!$C$6)*Допущения!$D$23</f>
        <v>642670.975814763</v>
      </c>
      <c r="AC52" s="14" t="n">
        <f aca="false">AC50*(1+Допущения!$C$6)*Допущения!$D$23</f>
        <v>676619.741903099</v>
      </c>
      <c r="AD52" s="14" t="n">
        <f aca="false">AD50*(1+Допущения!$C$6)*Допущения!$D$23</f>
        <v>1181734.68919577</v>
      </c>
      <c r="AE52" s="14" t="n">
        <f aca="false">AE50*(1+Допущения!$C$6)*Допущения!$D$23</f>
        <v>1356672.05100015</v>
      </c>
      <c r="AF52" s="14" t="n">
        <f aca="false">AF50*(1+Допущения!$C$6)*Допущения!$D$23</f>
        <v>1539143.52949652</v>
      </c>
      <c r="AG52" s="14" t="n">
        <f aca="false">AG50*(1+Допущения!$C$6)*Допущения!$D$23</f>
        <v>1728588.32322494</v>
      </c>
      <c r="AH52" s="14" t="n">
        <f aca="false">AH50*(1+Допущения!$C$6)*Допущения!$D$23</f>
        <v>1099703.34072604</v>
      </c>
      <c r="AI52" s="14" t="n">
        <f aca="false">AI50*(1+Допущения!$C$6)*Допущения!$D$23</f>
        <v>1275797.21669254</v>
      </c>
      <c r="AJ52" s="14" t="n">
        <f aca="false">AJ50*(1+Допущения!$C$6)*Допущения!$D$23</f>
        <v>1458544.20215709</v>
      </c>
      <c r="AK52" s="14" t="n">
        <f aca="false">AK50*(1+Допущения!$C$6)*Допущения!$D$23</f>
        <v>1497691.31306002</v>
      </c>
      <c r="AL52" s="14" t="n">
        <f aca="false">AL50*(1+Допущения!$C$6)*Допущения!$D$23</f>
        <v>1535076.80397232</v>
      </c>
    </row>
    <row r="53" customFormat="false" ht="15" hidden="false" customHeight="false" outlineLevel="0" collapsed="false">
      <c r="A53" s="6" t="s">
        <v>173</v>
      </c>
      <c r="B53" s="3" t="s">
        <v>85</v>
      </c>
      <c r="C53" s="14" t="n">
        <f aca="false">C48/Допущения!$C$9*Допущения!$C$10+C48*Допущения!$C$11</f>
        <v>4752</v>
      </c>
      <c r="D53" s="14" t="n">
        <f aca="false">D48/Допущения!$C$9*Допущения!$C$10+D48*Допущения!$C$11</f>
        <v>6967.62</v>
      </c>
      <c r="E53" s="14" t="n">
        <f aca="false">E48/Допущения!$C$9*Допущения!$C$10+E48*Допущения!$C$11</f>
        <v>10218.0771</v>
      </c>
      <c r="F53" s="14" t="n">
        <f aca="false">F48/Допущения!$C$9*Допущения!$C$10+F48*Допущения!$C$11</f>
        <v>22203.7727175</v>
      </c>
      <c r="G53" s="14" t="n">
        <f aca="false">G48/Допущения!$C$9*Допущения!$C$10+G48*Допущения!$C$11</f>
        <v>29859.0632397338</v>
      </c>
      <c r="H53" s="14" t="n">
        <f aca="false">H48/Допущения!$C$9*Допущения!$C$10+H48*Допущения!$C$11</f>
        <v>38235.7149752135</v>
      </c>
      <c r="I53" s="14" t="n">
        <f aca="false">I48/Допущения!$C$9*Допущения!$C$10+I48*Допущения!$C$11</f>
        <v>47280.0334514397</v>
      </c>
      <c r="J53" s="14" t="n">
        <f aca="false">J48/Допущения!$C$9*Допущения!$C$10+J48*Допущения!$C$11</f>
        <v>32538.1119668461</v>
      </c>
      <c r="K53" s="14" t="n">
        <f aca="false">K48/Допущения!$C$9*Допущения!$C$10+K48*Допущения!$C$11</f>
        <v>40304.1340443803</v>
      </c>
      <c r="L53" s="14" t="n">
        <f aca="false">L48/Допущения!$C$9*Допущения!$C$10+L48*Допущения!$C$11</f>
        <v>48707.1644582035</v>
      </c>
      <c r="M53" s="14" t="n">
        <f aca="false">M48/Допущения!$C$9*Допущения!$C$10+M48*Допущения!$C$11</f>
        <v>52455.3420575843</v>
      </c>
      <c r="N53" s="14" t="n">
        <f aca="false">N48/Допущения!$C$9*Допущения!$C$10+N48*Допущения!$C$11</f>
        <v>56034.851664993</v>
      </c>
      <c r="O53" s="14" t="n">
        <f aca="false">O48/Допущения!$C$9*Допущения!$C$10+O48*Допущения!$C$11</f>
        <v>50730.6266720547</v>
      </c>
      <c r="P53" s="14" t="n">
        <f aca="false">P48/Допущения!$C$9*Допущения!$C$10+P48*Допущения!$C$11</f>
        <v>42275.8113538592</v>
      </c>
      <c r="Q53" s="14" t="n">
        <f aca="false">Q48/Допущения!$C$9*Допущения!$C$10+Q48*Допущения!$C$11</f>
        <v>46313.3998429355</v>
      </c>
      <c r="R53" s="14" t="n">
        <f aca="false">R48/Допущения!$C$9*Допущения!$C$10+R48*Допущения!$C$11</f>
        <v>83615.4947500057</v>
      </c>
      <c r="S53" s="14" t="n">
        <f aca="false">S48/Допущения!$C$9*Допущения!$C$10+S48*Допущения!$C$11</f>
        <v>98728.077234881</v>
      </c>
      <c r="T53" s="14" t="n">
        <f aca="false">T48/Допущения!$C$9*Допущения!$C$10+T48*Допущения!$C$11</f>
        <v>114736.705919249</v>
      </c>
      <c r="U53" s="14" t="n">
        <f aca="false">U48/Допущения!$C$9*Допущения!$C$10+U48*Допущения!$C$11</f>
        <v>131574.683665623</v>
      </c>
      <c r="V53" s="14" t="n">
        <f aca="false">V48/Допущения!$C$9*Допущения!$C$10+V48*Допущения!$C$11</f>
        <v>85245.4294773352</v>
      </c>
      <c r="W53" s="14" t="n">
        <f aca="false">W48/Допущения!$C$9*Допущения!$C$10+W48*Допущения!$C$11</f>
        <v>100495.558294712</v>
      </c>
      <c r="X53" s="14" t="n">
        <f aca="false">X48/Допущения!$C$9*Допущения!$C$10+X48*Допущения!$C$11</f>
        <v>116536.953523833</v>
      </c>
      <c r="Y53" s="14" t="n">
        <f aca="false">Y48/Допущения!$C$9*Допущения!$C$10+Y48*Допущения!$C$11</f>
        <v>121192.790615261</v>
      </c>
      <c r="Z53" s="14" t="n">
        <f aca="false">Z48/Допущения!$C$9*Допущения!$C$10+Z48*Допущения!$C$11</f>
        <v>125639.115037574</v>
      </c>
      <c r="AA53" s="14" t="n">
        <f aca="false">AA48/Допущения!$C$9*Допущения!$C$10+AA48*Допущения!$C$11</f>
        <v>107076.283888707</v>
      </c>
      <c r="AB53" s="14" t="n">
        <f aca="false">AB48/Допущения!$C$9*Допущения!$C$10+AB48*Допущения!$C$11</f>
        <v>85009.3883352861</v>
      </c>
      <c r="AC53" s="14" t="n">
        <f aca="false">AC48/Допущения!$C$9*Допущения!$C$10+AC48*Допущения!$C$11</f>
        <v>89499.9658601982</v>
      </c>
      <c r="AD53" s="14" t="n">
        <f aca="false">AD48/Допущения!$C$9*Допущения!$C$10+AD48*Допущения!$C$11</f>
        <v>156314.112327482</v>
      </c>
      <c r="AE53" s="14" t="n">
        <f aca="false">AE48/Допущения!$C$9*Допущения!$C$10+AE48*Допущения!$C$11</f>
        <v>179453.97500002</v>
      </c>
      <c r="AF53" s="14" t="n">
        <f aca="false">AF48/Допущения!$C$9*Допущения!$C$10+AF48*Допущения!$C$11</f>
        <v>203590.413954566</v>
      </c>
      <c r="AG53" s="14" t="n">
        <f aca="false">AG48/Допущения!$C$9*Допущения!$C$10+AG48*Допущения!$C$11</f>
        <v>228649.249103828</v>
      </c>
      <c r="AH53" s="14" t="n">
        <f aca="false">AH48/Допущения!$C$9*Допущения!$C$10+AH48*Допущения!$C$11</f>
        <v>145463.404857942</v>
      </c>
      <c r="AI53" s="14" t="n">
        <f aca="false">AI48/Допущения!$C$9*Допущения!$C$10+AI48*Допущения!$C$11</f>
        <v>168756.245594252</v>
      </c>
      <c r="AJ53" s="14" t="n">
        <f aca="false">AJ48/Допущения!$C$9*Допущения!$C$10+AJ48*Допущения!$C$11</f>
        <v>192929.127269456</v>
      </c>
      <c r="AK53" s="14" t="n">
        <f aca="false">AK48/Допущения!$C$9*Допущения!$C$10+AK48*Допущения!$C$11</f>
        <v>198107.31654233</v>
      </c>
      <c r="AL53" s="14" t="n">
        <f aca="false">AL48/Допущения!$C$9*Допущения!$C$10+AL48*Допущения!$C$11</f>
        <v>203052.487297926</v>
      </c>
    </row>
    <row r="54" customFormat="false" ht="15" hidden="false" customHeight="false" outlineLevel="0" collapsed="false">
      <c r="A54" s="6" t="s">
        <v>174</v>
      </c>
      <c r="B54" s="3" t="s">
        <v>85</v>
      </c>
      <c r="C54" s="14" t="n">
        <f aca="false">C51*Допущения!$C$8</f>
        <v>3318.7968</v>
      </c>
      <c r="D54" s="14" t="n">
        <f aca="false">D51*Допущения!$C$8</f>
        <v>4866.185808</v>
      </c>
      <c r="E54" s="14" t="n">
        <f aca="false">E51*Допущения!$C$8</f>
        <v>7136.30504664</v>
      </c>
      <c r="F54" s="14" t="n">
        <f aca="false">F51*Допущения!$C$8</f>
        <v>15507.114865902</v>
      </c>
      <c r="G54" s="14" t="n">
        <f aca="false">G51*Допущения!$C$8</f>
        <v>20853.5697666301</v>
      </c>
      <c r="H54" s="14" t="n">
        <f aca="false">H51*Допущения!$C$8</f>
        <v>26703.8233386891</v>
      </c>
      <c r="I54" s="14" t="n">
        <f aca="false">I51*Допущения!$C$8</f>
        <v>33020.3753624855</v>
      </c>
      <c r="J54" s="14" t="n">
        <f aca="false">J51*Допущения!$C$8</f>
        <v>22724.6173976453</v>
      </c>
      <c r="K54" s="14" t="n">
        <f aca="false">K51*Допущения!$C$8</f>
        <v>28148.4072165952</v>
      </c>
      <c r="L54" s="14" t="n">
        <f aca="false">L51*Допущения!$C$8</f>
        <v>34017.0836576093</v>
      </c>
      <c r="M54" s="14" t="n">
        <f aca="false">M51*Допущения!$C$8</f>
        <v>36634.8108930169</v>
      </c>
      <c r="N54" s="14" t="n">
        <f aca="false">N51*Допущения!$C$8</f>
        <v>39134.7404028311</v>
      </c>
      <c r="O54" s="14" t="n">
        <f aca="false">O51*Допущения!$C$8</f>
        <v>35430.269667763</v>
      </c>
      <c r="P54" s="14" t="n">
        <f aca="false">P51*Допущения!$C$8</f>
        <v>29525.4266495352</v>
      </c>
      <c r="Q54" s="14" t="n">
        <f aca="false">Q51*Допущения!$C$8</f>
        <v>32345.2784503062</v>
      </c>
      <c r="R54" s="14" t="n">
        <f aca="false">R51*Допущения!$C$8</f>
        <v>58397.061533404</v>
      </c>
      <c r="S54" s="14" t="n">
        <f aca="false">S51*Допущения!$C$8</f>
        <v>68951.6891408409</v>
      </c>
      <c r="T54" s="14" t="n">
        <f aca="false">T51*Допущения!$C$8</f>
        <v>80132.1154140033</v>
      </c>
      <c r="U54" s="14" t="n">
        <f aca="false">U51*Допущения!$C$8</f>
        <v>91891.7590720709</v>
      </c>
      <c r="V54" s="14" t="n">
        <f aca="false">V51*Допущения!$C$8</f>
        <v>59535.4079469709</v>
      </c>
      <c r="W54" s="14" t="n">
        <f aca="false">W51*Допущения!$C$8</f>
        <v>70186.0979130269</v>
      </c>
      <c r="X54" s="14" t="n">
        <f aca="false">X51*Допущения!$C$8</f>
        <v>81389.4083410452</v>
      </c>
      <c r="Y54" s="14" t="n">
        <f aca="false">Y51*Допущения!$C$8</f>
        <v>84641.0449656981</v>
      </c>
      <c r="Z54" s="14" t="n">
        <f aca="false">Z51*Допущения!$C$8</f>
        <v>87746.3579422418</v>
      </c>
      <c r="AA54" s="14" t="n">
        <f aca="false">AA51*Допущения!$C$8</f>
        <v>74782.0766678727</v>
      </c>
      <c r="AB54" s="14" t="n">
        <f aca="false">AB51*Допущения!$C$8</f>
        <v>59370.5568133638</v>
      </c>
      <c r="AC54" s="14" t="n">
        <f aca="false">AC51*Допущения!$C$8</f>
        <v>62506.7761567624</v>
      </c>
      <c r="AD54" s="14" t="n">
        <f aca="false">AD51*Допущения!$C$8</f>
        <v>109169.776049514</v>
      </c>
      <c r="AE54" s="14" t="n">
        <f aca="false">AE51*Допущения!$C$8</f>
        <v>125330.656140014</v>
      </c>
      <c r="AF54" s="14" t="n">
        <f aca="false">AF51*Допущения!$C$8</f>
        <v>142187.545105869</v>
      </c>
      <c r="AG54" s="14" t="n">
        <f aca="false">AG51*Допущения!$C$8</f>
        <v>159688.635574114</v>
      </c>
      <c r="AH54" s="14" t="n">
        <f aca="false">AH51*Допущения!$C$8</f>
        <v>101591.641952787</v>
      </c>
      <c r="AI54" s="14" t="n">
        <f aca="false">AI51*Допущения!$C$8</f>
        <v>117859.361923025</v>
      </c>
      <c r="AJ54" s="14" t="n">
        <f aca="false">AJ51*Допущения!$C$8</f>
        <v>134741.702484988</v>
      </c>
      <c r="AK54" s="14" t="n">
        <f aca="false">AK51*Допущения!$C$8</f>
        <v>138358.149873164</v>
      </c>
      <c r="AL54" s="14" t="n">
        <f aca="false">AL51*Допущения!$C$8</f>
        <v>141811.857128871</v>
      </c>
    </row>
    <row r="55" customFormat="false" ht="15" hidden="false" customHeight="false" outlineLevel="0" collapsed="false">
      <c r="A55" s="33" t="s">
        <v>175</v>
      </c>
      <c r="B55" s="34" t="s">
        <v>85</v>
      </c>
      <c r="C55" s="35" t="n">
        <f aca="false">C51-C52-C53-C54</f>
        <v>38974.0032</v>
      </c>
      <c r="D55" s="35" t="n">
        <f aca="false">D51-D52-D53-D54</f>
        <v>57145.632192</v>
      </c>
      <c r="E55" s="35" t="n">
        <f aca="false">E51-E52-E53-E54</f>
        <v>83804.58114336</v>
      </c>
      <c r="F55" s="35" t="n">
        <f aca="false">F51-F52-F53-F54</f>
        <v>182106.462319848</v>
      </c>
      <c r="G55" s="35" t="n">
        <f aca="false">G51-G52-G53-G54</f>
        <v>244892.093067</v>
      </c>
      <c r="H55" s="35" t="n">
        <f aca="false">H51-H52-H53-H54</f>
        <v>313594.039940711</v>
      </c>
      <c r="I55" s="35" t="n">
        <f aca="false">I51-I52-I53-I54</f>
        <v>387771.922355328</v>
      </c>
      <c r="J55" s="35" t="n">
        <f aca="false">J51-J52-J53-J54</f>
        <v>266864.579107285</v>
      </c>
      <c r="K55" s="35" t="n">
        <f aca="false">K51-K52-K53-K54</f>
        <v>330558.385778389</v>
      </c>
      <c r="L55" s="35" t="n">
        <f aca="false">L51-L52-L53-L54</f>
        <v>399476.680020402</v>
      </c>
      <c r="M55" s="35" t="n">
        <f aca="false">M51-M52-M53-M54</f>
        <v>430217.733419484</v>
      </c>
      <c r="N55" s="35" t="n">
        <f aca="false">N51-N52-N53-N54</f>
        <v>459575.439415607</v>
      </c>
      <c r="O55" s="35" t="n">
        <f aca="false">O51-O52-O53-O54</f>
        <v>416072.307713524</v>
      </c>
      <c r="P55" s="35" t="n">
        <f aca="false">P51-P52-P53-P54</f>
        <v>346729.294399811</v>
      </c>
      <c r="Q55" s="35" t="n">
        <f aca="false">Q51-Q52-Q53-Q54</f>
        <v>379843.98015182</v>
      </c>
      <c r="R55" s="35" t="n">
        <f aca="false">R51-R52-R53-R54</f>
        <v>685780.841741647</v>
      </c>
      <c r="S55" s="35" t="n">
        <f aca="false">S51-S52-S53-S54</f>
        <v>809728.1982496</v>
      </c>
      <c r="T55" s="35" t="n">
        <f aca="false">T51-T52-T53-T54</f>
        <v>941024.56726731</v>
      </c>
      <c r="U55" s="35" t="n">
        <f aca="false">U51-U52-U53-U54</f>
        <v>1079122.92555197</v>
      </c>
      <c r="V55" s="35" t="n">
        <f aca="false">V51-V52-V53-V54</f>
        <v>699148.914401313</v>
      </c>
      <c r="W55" s="35" t="n">
        <f aca="false">W51-W52-W53-W54</f>
        <v>824224.37090991</v>
      </c>
      <c r="X55" s="35" t="n">
        <f aca="false">X51-X52-X53-X54</f>
        <v>955789.478021071</v>
      </c>
      <c r="Y55" s="35" t="n">
        <f aca="false">Y51-Y52-Y53-Y54</f>
        <v>993974.791510122</v>
      </c>
      <c r="Z55" s="35" t="n">
        <f aca="false">Z51-Z52-Z53-Z54</f>
        <v>1030441.76589217</v>
      </c>
      <c r="AA55" s="35" t="n">
        <f aca="false">AA51-AA52-AA53-AA54</f>
        <v>878196.849941616</v>
      </c>
      <c r="AB55" s="35" t="n">
        <f aca="false">AB51-AB52-AB53-AB54</f>
        <v>697212.999370683</v>
      </c>
      <c r="AC55" s="35" t="n">
        <f aca="false">AC51-AC52-AC53-AC54</f>
        <v>734042.919999002</v>
      </c>
      <c r="AD55" s="35" t="n">
        <f aca="false">AD51-AD52-AD53-AD54</f>
        <v>1282025.82366508</v>
      </c>
      <c r="AE55" s="35" t="n">
        <f aca="false">AE51-AE52-AE53-AE54</f>
        <v>1471809.72136016</v>
      </c>
      <c r="AF55" s="35" t="n">
        <f aca="false">AF51-AF52-AF53-AF54</f>
        <v>1669767.13908977</v>
      </c>
      <c r="AG55" s="35" t="n">
        <f aca="false">AG51-AG52-AG53-AG54</f>
        <v>1875289.68144996</v>
      </c>
      <c r="AH55" s="35" t="n">
        <f aca="false">AH51-AH52-AH53-AH54</f>
        <v>1193032.6612829</v>
      </c>
      <c r="AI55" s="35" t="n">
        <f aca="false">AI51-AI52-AI53-AI54</f>
        <v>1384071.22386581</v>
      </c>
      <c r="AJ55" s="35" t="n">
        <f aca="false">AJ51-AJ52-AJ53-AJ54</f>
        <v>1582327.53021317</v>
      </c>
      <c r="AK55" s="35" t="n">
        <f aca="false">AK51-AK52-AK53-AK54</f>
        <v>1624796.96735358</v>
      </c>
      <c r="AL55" s="35" t="n">
        <f aca="false">AL51-AL52-AL53-AL54</f>
        <v>1665355.27982267</v>
      </c>
    </row>
    <row r="56" customFormat="false" ht="15" hidden="false" customHeight="false" outlineLevel="0" collapsed="false">
      <c r="A56" s="6" t="s">
        <v>176</v>
      </c>
      <c r="B56" s="3" t="s">
        <v>82</v>
      </c>
      <c r="C56" s="17" t="n">
        <f aca="false">CHOOSE(C$6,Допущения!$D$38,Допущения!$D$39,Допущения!$D$40)/12</f>
        <v>0</v>
      </c>
      <c r="D56" s="17" t="n">
        <f aca="false">CHOOSE(D$6,Допущения!$D$38,Допущения!$D$39,Допущения!$D$40)/12</f>
        <v>0</v>
      </c>
      <c r="E56" s="17" t="n">
        <f aca="false">CHOOSE(E$6,Допущения!$D$38,Допущения!$D$39,Допущения!$D$40)/12</f>
        <v>0</v>
      </c>
      <c r="F56" s="17" t="n">
        <f aca="false">CHOOSE(F$6,Допущения!$D$38,Допущения!$D$39,Допущения!$D$40)/12</f>
        <v>0</v>
      </c>
      <c r="G56" s="17" t="n">
        <f aca="false">CHOOSE(G$6,Допущения!$D$38,Допущения!$D$39,Допущения!$D$40)/12</f>
        <v>0</v>
      </c>
      <c r="H56" s="17" t="n">
        <f aca="false">CHOOSE(H$6,Допущения!$D$38,Допущения!$D$39,Допущения!$D$40)/12</f>
        <v>0</v>
      </c>
      <c r="I56" s="17" t="n">
        <f aca="false">CHOOSE(I$6,Допущения!$D$38,Допущения!$D$39,Допущения!$D$40)/12</f>
        <v>0</v>
      </c>
      <c r="J56" s="17" t="n">
        <f aca="false">CHOOSE(J$6,Допущения!$D$38,Допущения!$D$39,Допущения!$D$40)/12</f>
        <v>0</v>
      </c>
      <c r="K56" s="17" t="n">
        <f aca="false">CHOOSE(K$6,Допущения!$D$38,Допущения!$D$39,Допущения!$D$40)/12</f>
        <v>0</v>
      </c>
      <c r="L56" s="17" t="n">
        <f aca="false">CHOOSE(L$6,Допущения!$D$38,Допущения!$D$39,Допущения!$D$40)/12</f>
        <v>0</v>
      </c>
      <c r="M56" s="17" t="n">
        <f aca="false">CHOOSE(M$6,Допущения!$D$38,Допущения!$D$39,Допущения!$D$40)/12</f>
        <v>0</v>
      </c>
      <c r="N56" s="17" t="n">
        <f aca="false">CHOOSE(N$6,Допущения!$D$38,Допущения!$D$39,Допущения!$D$40)/12</f>
        <v>0</v>
      </c>
      <c r="O56" s="17" t="n">
        <f aca="false">CHOOSE(O$6,Допущения!$D$38,Допущения!$D$39,Допущения!$D$40)/12</f>
        <v>0.0833333333333333</v>
      </c>
      <c r="P56" s="17" t="n">
        <f aca="false">CHOOSE(P$6,Допущения!$D$38,Допущения!$D$39,Допущения!$D$40)/12</f>
        <v>0.0833333333333333</v>
      </c>
      <c r="Q56" s="17" t="n">
        <f aca="false">CHOOSE(Q$6,Допущения!$D$38,Допущения!$D$39,Допущения!$D$40)/12</f>
        <v>0.0833333333333333</v>
      </c>
      <c r="R56" s="17" t="n">
        <f aca="false">CHOOSE(R$6,Допущения!$D$38,Допущения!$D$39,Допущения!$D$40)/12</f>
        <v>0.0833333333333333</v>
      </c>
      <c r="S56" s="17" t="n">
        <f aca="false">CHOOSE(S$6,Допущения!$D$38,Допущения!$D$39,Допущения!$D$40)/12</f>
        <v>0.0833333333333333</v>
      </c>
      <c r="T56" s="17" t="n">
        <f aca="false">CHOOSE(T$6,Допущения!$D$38,Допущения!$D$39,Допущения!$D$40)/12</f>
        <v>0.0833333333333333</v>
      </c>
      <c r="U56" s="17" t="n">
        <f aca="false">CHOOSE(U$6,Допущения!$D$38,Допущения!$D$39,Допущения!$D$40)/12</f>
        <v>0.0833333333333333</v>
      </c>
      <c r="V56" s="17" t="n">
        <f aca="false">CHOOSE(V$6,Допущения!$D$38,Допущения!$D$39,Допущения!$D$40)/12</f>
        <v>0.0833333333333333</v>
      </c>
      <c r="W56" s="17" t="n">
        <f aca="false">CHOOSE(W$6,Допущения!$D$38,Допущения!$D$39,Допущения!$D$40)/12</f>
        <v>0.0833333333333333</v>
      </c>
      <c r="X56" s="17" t="n">
        <f aca="false">CHOOSE(X$6,Допущения!$D$38,Допущения!$D$39,Допущения!$D$40)/12</f>
        <v>0.0833333333333333</v>
      </c>
      <c r="Y56" s="17" t="n">
        <f aca="false">CHOOSE(Y$6,Допущения!$D$38,Допущения!$D$39,Допущения!$D$40)/12</f>
        <v>0.0833333333333333</v>
      </c>
      <c r="Z56" s="17" t="n">
        <f aca="false">CHOOSE(Z$6,Допущения!$D$38,Допущения!$D$39,Допущения!$D$40)/12</f>
        <v>0.0833333333333333</v>
      </c>
      <c r="AA56" s="17" t="n">
        <f aca="false">CHOOSE(AA$6,Допущения!$D$38,Допущения!$D$39,Допущения!$D$40)/12</f>
        <v>0.166666666666667</v>
      </c>
      <c r="AB56" s="17" t="n">
        <f aca="false">CHOOSE(AB$6,Допущения!$D$38,Допущения!$D$39,Допущения!$D$40)/12</f>
        <v>0.166666666666667</v>
      </c>
      <c r="AC56" s="17" t="n">
        <f aca="false">CHOOSE(AC$6,Допущения!$D$38,Допущения!$D$39,Допущения!$D$40)/12</f>
        <v>0.166666666666667</v>
      </c>
      <c r="AD56" s="17" t="n">
        <f aca="false">CHOOSE(AD$6,Допущения!$D$38,Допущения!$D$39,Допущения!$D$40)/12</f>
        <v>0.166666666666667</v>
      </c>
      <c r="AE56" s="17" t="n">
        <f aca="false">CHOOSE(AE$6,Допущения!$D$38,Допущения!$D$39,Допущения!$D$40)/12</f>
        <v>0.166666666666667</v>
      </c>
      <c r="AF56" s="17" t="n">
        <f aca="false">CHOOSE(AF$6,Допущения!$D$38,Допущения!$D$39,Допущения!$D$40)/12</f>
        <v>0.166666666666667</v>
      </c>
      <c r="AG56" s="17" t="n">
        <f aca="false">CHOOSE(AG$6,Допущения!$D$38,Допущения!$D$39,Допущения!$D$40)/12</f>
        <v>0.166666666666667</v>
      </c>
      <c r="AH56" s="17" t="n">
        <f aca="false">CHOOSE(AH$6,Допущения!$D$38,Допущения!$D$39,Допущения!$D$40)/12</f>
        <v>0.166666666666667</v>
      </c>
      <c r="AI56" s="17" t="n">
        <f aca="false">CHOOSE(AI$6,Допущения!$D$38,Допущения!$D$39,Допущения!$D$40)/12</f>
        <v>0.166666666666667</v>
      </c>
      <c r="AJ56" s="17" t="n">
        <f aca="false">CHOOSE(AJ$6,Допущения!$D$38,Допущения!$D$39,Допущения!$D$40)/12</f>
        <v>0.166666666666667</v>
      </c>
      <c r="AK56" s="17" t="n">
        <f aca="false">CHOOSE(AK$6,Допущения!$D$38,Допущения!$D$39,Допущения!$D$40)/12</f>
        <v>0.166666666666667</v>
      </c>
      <c r="AL56" s="17" t="n">
        <f aca="false">CHOOSE(AL$6,Допущения!$D$38,Допущения!$D$39,Допущения!$D$40)/12</f>
        <v>0.166666666666667</v>
      </c>
    </row>
    <row r="57" customFormat="false" ht="15" hidden="false" customHeight="false" outlineLevel="0" collapsed="false">
      <c r="A57" s="6" t="s">
        <v>177</v>
      </c>
      <c r="B57" s="3" t="s">
        <v>82</v>
      </c>
      <c r="C57" s="14" t="n">
        <f aca="false">C56*Допущения!$D$41</f>
        <v>0</v>
      </c>
      <c r="D57" s="14" t="n">
        <f aca="false">D56*Допущения!$D$41</f>
        <v>0</v>
      </c>
      <c r="E57" s="14" t="n">
        <f aca="false">E56*Допущения!$D$41</f>
        <v>0</v>
      </c>
      <c r="F57" s="14" t="n">
        <f aca="false">F56*Допущения!$D$41</f>
        <v>0</v>
      </c>
      <c r="G57" s="14" t="n">
        <f aca="false">G56*Допущения!$D$41</f>
        <v>0</v>
      </c>
      <c r="H57" s="14" t="n">
        <f aca="false">H56*Допущения!$D$41</f>
        <v>0</v>
      </c>
      <c r="I57" s="14" t="n">
        <f aca="false">I56*Допущения!$D$41</f>
        <v>0</v>
      </c>
      <c r="J57" s="14" t="n">
        <f aca="false">J56*Допущения!$D$41</f>
        <v>0</v>
      </c>
      <c r="K57" s="14" t="n">
        <f aca="false">K56*Допущения!$D$41</f>
        <v>0</v>
      </c>
      <c r="L57" s="14" t="n">
        <f aca="false">L56*Допущения!$D$41</f>
        <v>0</v>
      </c>
      <c r="M57" s="14" t="n">
        <f aca="false">M56*Допущения!$D$41</f>
        <v>0</v>
      </c>
      <c r="N57" s="14" t="n">
        <f aca="false">N56*Допущения!$D$41</f>
        <v>0</v>
      </c>
      <c r="O57" s="14" t="n">
        <f aca="false">O56*Допущения!$D$41</f>
        <v>583.333333333333</v>
      </c>
      <c r="P57" s="14" t="n">
        <f aca="false">P56*Допущения!$D$41</f>
        <v>583.333333333333</v>
      </c>
      <c r="Q57" s="14" t="n">
        <f aca="false">Q56*Допущения!$D$41</f>
        <v>583.333333333333</v>
      </c>
      <c r="R57" s="14" t="n">
        <f aca="false">R56*Допущения!$D$41</f>
        <v>583.333333333333</v>
      </c>
      <c r="S57" s="14" t="n">
        <f aca="false">S56*Допущения!$D$41</f>
        <v>583.333333333333</v>
      </c>
      <c r="T57" s="14" t="n">
        <f aca="false">T56*Допущения!$D$41</f>
        <v>583.333333333333</v>
      </c>
      <c r="U57" s="14" t="n">
        <f aca="false">U56*Допущения!$D$41</f>
        <v>583.333333333333</v>
      </c>
      <c r="V57" s="14" t="n">
        <f aca="false">V56*Допущения!$D$41</f>
        <v>583.333333333333</v>
      </c>
      <c r="W57" s="14" t="n">
        <f aca="false">W56*Допущения!$D$41</f>
        <v>583.333333333333</v>
      </c>
      <c r="X57" s="14" t="n">
        <f aca="false">X56*Допущения!$D$41</f>
        <v>583.333333333333</v>
      </c>
      <c r="Y57" s="14" t="n">
        <f aca="false">Y56*Допущения!$D$41</f>
        <v>583.333333333333</v>
      </c>
      <c r="Z57" s="14" t="n">
        <f aca="false">Z56*Допущения!$D$41</f>
        <v>583.333333333333</v>
      </c>
      <c r="AA57" s="14" t="n">
        <f aca="false">AA56*Допущения!$D$41</f>
        <v>1166.66666666667</v>
      </c>
      <c r="AB57" s="14" t="n">
        <f aca="false">AB56*Допущения!$D$41</f>
        <v>1166.66666666667</v>
      </c>
      <c r="AC57" s="14" t="n">
        <f aca="false">AC56*Допущения!$D$41</f>
        <v>1166.66666666667</v>
      </c>
      <c r="AD57" s="14" t="n">
        <f aca="false">AD56*Допущения!$D$41</f>
        <v>1166.66666666667</v>
      </c>
      <c r="AE57" s="14" t="n">
        <f aca="false">AE56*Допущения!$D$41</f>
        <v>1166.66666666667</v>
      </c>
      <c r="AF57" s="14" t="n">
        <f aca="false">AF56*Допущения!$D$41</f>
        <v>1166.66666666667</v>
      </c>
      <c r="AG57" s="14" t="n">
        <f aca="false">AG56*Допущения!$D$41</f>
        <v>1166.66666666667</v>
      </c>
      <c r="AH57" s="14" t="n">
        <f aca="false">AH56*Допущения!$D$41</f>
        <v>1166.66666666667</v>
      </c>
      <c r="AI57" s="14" t="n">
        <f aca="false">AI56*Допущения!$D$41</f>
        <v>1166.66666666667</v>
      </c>
      <c r="AJ57" s="14" t="n">
        <f aca="false">AJ56*Допущения!$D$41</f>
        <v>1166.66666666667</v>
      </c>
      <c r="AK57" s="14" t="n">
        <f aca="false">AK56*Допущения!$D$41</f>
        <v>1166.66666666667</v>
      </c>
      <c r="AL57" s="14" t="n">
        <f aca="false">AL56*Допущения!$D$41</f>
        <v>1166.66666666667</v>
      </c>
    </row>
    <row r="58" customFormat="false" ht="15" hidden="false" customHeight="false" outlineLevel="0" collapsed="false">
      <c r="A58" s="6" t="s">
        <v>178</v>
      </c>
      <c r="B58" s="3" t="s">
        <v>82</v>
      </c>
      <c r="C58" s="14" t="n">
        <f aca="false">C57*(1-Допущения!$C$12)</f>
        <v>0</v>
      </c>
      <c r="D58" s="14" t="n">
        <f aca="false">D57*(1-Допущения!$C$12)</f>
        <v>0</v>
      </c>
      <c r="E58" s="14" t="n">
        <f aca="false">E57*(1-Допущения!$C$12)</f>
        <v>0</v>
      </c>
      <c r="F58" s="14" t="n">
        <f aca="false">F57*(1-Допущения!$C$12)</f>
        <v>0</v>
      </c>
      <c r="G58" s="14" t="n">
        <f aca="false">G57*(1-Допущения!$C$12)</f>
        <v>0</v>
      </c>
      <c r="H58" s="14" t="n">
        <f aca="false">H57*(1-Допущения!$C$12)</f>
        <v>0</v>
      </c>
      <c r="I58" s="14" t="n">
        <f aca="false">I57*(1-Допущения!$C$12)</f>
        <v>0</v>
      </c>
      <c r="J58" s="14" t="n">
        <f aca="false">J57*(1-Допущения!$C$12)</f>
        <v>0</v>
      </c>
      <c r="K58" s="14" t="n">
        <f aca="false">K57*(1-Допущения!$C$12)</f>
        <v>0</v>
      </c>
      <c r="L58" s="14" t="n">
        <f aca="false">L57*(1-Допущения!$C$12)</f>
        <v>0</v>
      </c>
      <c r="M58" s="14" t="n">
        <f aca="false">M57*(1-Допущения!$C$12)</f>
        <v>0</v>
      </c>
      <c r="N58" s="14" t="n">
        <f aca="false">N57*(1-Допущения!$C$12)</f>
        <v>0</v>
      </c>
      <c r="O58" s="14" t="n">
        <f aca="false">O57*(1-Допущения!$C$12)</f>
        <v>525</v>
      </c>
      <c r="P58" s="14" t="n">
        <f aca="false">P57*(1-Допущения!$C$12)</f>
        <v>525</v>
      </c>
      <c r="Q58" s="14" t="n">
        <f aca="false">Q57*(1-Допущения!$C$12)</f>
        <v>525</v>
      </c>
      <c r="R58" s="14" t="n">
        <f aca="false">R57*(1-Допущения!$C$12)</f>
        <v>525</v>
      </c>
      <c r="S58" s="14" t="n">
        <f aca="false">S57*(1-Допущения!$C$12)</f>
        <v>525</v>
      </c>
      <c r="T58" s="14" t="n">
        <f aca="false">T57*(1-Допущения!$C$12)</f>
        <v>525</v>
      </c>
      <c r="U58" s="14" t="n">
        <f aca="false">U57*(1-Допущения!$C$12)</f>
        <v>525</v>
      </c>
      <c r="V58" s="14" t="n">
        <f aca="false">V57*(1-Допущения!$C$12)</f>
        <v>525</v>
      </c>
      <c r="W58" s="14" t="n">
        <f aca="false">W57*(1-Допущения!$C$12)</f>
        <v>525</v>
      </c>
      <c r="X58" s="14" t="n">
        <f aca="false">X57*(1-Допущения!$C$12)</f>
        <v>525</v>
      </c>
      <c r="Y58" s="14" t="n">
        <f aca="false">Y57*(1-Допущения!$C$12)</f>
        <v>525</v>
      </c>
      <c r="Z58" s="14" t="n">
        <f aca="false">Z57*(1-Допущения!$C$12)</f>
        <v>525</v>
      </c>
      <c r="AA58" s="14" t="n">
        <f aca="false">AA57*(1-Допущения!$C$12)</f>
        <v>1050</v>
      </c>
      <c r="AB58" s="14" t="n">
        <f aca="false">AB57*(1-Допущения!$C$12)</f>
        <v>1050</v>
      </c>
      <c r="AC58" s="14" t="n">
        <f aca="false">AC57*(1-Допущения!$C$12)</f>
        <v>1050</v>
      </c>
      <c r="AD58" s="14" t="n">
        <f aca="false">AD57*(1-Допущения!$C$12)</f>
        <v>1050</v>
      </c>
      <c r="AE58" s="14" t="n">
        <f aca="false">AE57*(1-Допущения!$C$12)</f>
        <v>1050</v>
      </c>
      <c r="AF58" s="14" t="n">
        <f aca="false">AF57*(1-Допущения!$C$12)</f>
        <v>1050</v>
      </c>
      <c r="AG58" s="14" t="n">
        <f aca="false">AG57*(1-Допущения!$C$12)</f>
        <v>1050</v>
      </c>
      <c r="AH58" s="14" t="n">
        <f aca="false">AH57*(1-Допущения!$C$12)</f>
        <v>1050</v>
      </c>
      <c r="AI58" s="14" t="n">
        <f aca="false">AI57*(1-Допущения!$C$12)</f>
        <v>1050</v>
      </c>
      <c r="AJ58" s="14" t="n">
        <f aca="false">AJ57*(1-Допущения!$C$12)</f>
        <v>1050</v>
      </c>
      <c r="AK58" s="14" t="n">
        <f aca="false">AK57*(1-Допущения!$C$12)</f>
        <v>1050</v>
      </c>
      <c r="AL58" s="14" t="n">
        <f aca="false">AL57*(1-Допущения!$C$12)</f>
        <v>1050</v>
      </c>
    </row>
    <row r="59" customFormat="false" ht="15" hidden="false" customHeight="false" outlineLevel="0" collapsed="false">
      <c r="A59" s="6" t="s">
        <v>179</v>
      </c>
      <c r="B59" s="3" t="s">
        <v>85</v>
      </c>
      <c r="C59" s="14" t="n">
        <f aca="false">C58*Допущения!$D$42</f>
        <v>0</v>
      </c>
      <c r="D59" s="14" t="n">
        <f aca="false">D58*Допущения!$D$42</f>
        <v>0</v>
      </c>
      <c r="E59" s="14" t="n">
        <f aca="false">E58*Допущения!$D$42</f>
        <v>0</v>
      </c>
      <c r="F59" s="14" t="n">
        <f aca="false">F58*Допущения!$D$42</f>
        <v>0</v>
      </c>
      <c r="G59" s="14" t="n">
        <f aca="false">G58*Допущения!$D$42</f>
        <v>0</v>
      </c>
      <c r="H59" s="14" t="n">
        <f aca="false">H58*Допущения!$D$42</f>
        <v>0</v>
      </c>
      <c r="I59" s="14" t="n">
        <f aca="false">I58*Допущения!$D$42</f>
        <v>0</v>
      </c>
      <c r="J59" s="14" t="n">
        <f aca="false">J58*Допущения!$D$42</f>
        <v>0</v>
      </c>
      <c r="K59" s="14" t="n">
        <f aca="false">K58*Допущения!$D$42</f>
        <v>0</v>
      </c>
      <c r="L59" s="14" t="n">
        <f aca="false">L58*Допущения!$D$42</f>
        <v>0</v>
      </c>
      <c r="M59" s="14" t="n">
        <f aca="false">M58*Допущения!$D$42</f>
        <v>0</v>
      </c>
      <c r="N59" s="14" t="n">
        <f aca="false">N58*Допущения!$D$42</f>
        <v>0</v>
      </c>
      <c r="O59" s="14" t="n">
        <f aca="false">O58*Допущения!$D$42</f>
        <v>7875000</v>
      </c>
      <c r="P59" s="14" t="n">
        <f aca="false">P58*Допущения!$D$42</f>
        <v>7875000</v>
      </c>
      <c r="Q59" s="14" t="n">
        <f aca="false">Q58*Допущения!$D$42</f>
        <v>7875000</v>
      </c>
      <c r="R59" s="14" t="n">
        <f aca="false">R58*Допущения!$D$42</f>
        <v>7875000</v>
      </c>
      <c r="S59" s="14" t="n">
        <f aca="false">S58*Допущения!$D$42</f>
        <v>7875000</v>
      </c>
      <c r="T59" s="14" t="n">
        <f aca="false">T58*Допущения!$D$42</f>
        <v>7875000</v>
      </c>
      <c r="U59" s="14" t="n">
        <f aca="false">U58*Допущения!$D$42</f>
        <v>7875000</v>
      </c>
      <c r="V59" s="14" t="n">
        <f aca="false">V58*Допущения!$D$42</f>
        <v>7875000</v>
      </c>
      <c r="W59" s="14" t="n">
        <f aca="false">W58*Допущения!$D$42</f>
        <v>7875000</v>
      </c>
      <c r="X59" s="14" t="n">
        <f aca="false">X58*Допущения!$D$42</f>
        <v>7875000</v>
      </c>
      <c r="Y59" s="14" t="n">
        <f aca="false">Y58*Допущения!$D$42</f>
        <v>7875000</v>
      </c>
      <c r="Z59" s="14" t="n">
        <f aca="false">Z58*Допущения!$D$42</f>
        <v>7875000</v>
      </c>
      <c r="AA59" s="14" t="n">
        <f aca="false">AA58*Допущения!$D$42</f>
        <v>15750000</v>
      </c>
      <c r="AB59" s="14" t="n">
        <f aca="false">AB58*Допущения!$D$42</f>
        <v>15750000</v>
      </c>
      <c r="AC59" s="14" t="n">
        <f aca="false">AC58*Допущения!$D$42</f>
        <v>15750000</v>
      </c>
      <c r="AD59" s="14" t="n">
        <f aca="false">AD58*Допущения!$D$42</f>
        <v>15750000</v>
      </c>
      <c r="AE59" s="14" t="n">
        <f aca="false">AE58*Допущения!$D$42</f>
        <v>15750000</v>
      </c>
      <c r="AF59" s="14" t="n">
        <f aca="false">AF58*Допущения!$D$42</f>
        <v>15750000</v>
      </c>
      <c r="AG59" s="14" t="n">
        <f aca="false">AG58*Допущения!$D$42</f>
        <v>15750000</v>
      </c>
      <c r="AH59" s="14" t="n">
        <f aca="false">AH58*Допущения!$D$42</f>
        <v>15750000</v>
      </c>
      <c r="AI59" s="14" t="n">
        <f aca="false">AI58*Допущения!$D$42</f>
        <v>15750000</v>
      </c>
      <c r="AJ59" s="14" t="n">
        <f aca="false">AJ58*Допущения!$D$42</f>
        <v>15750000</v>
      </c>
      <c r="AK59" s="14" t="n">
        <f aca="false">AK58*Допущения!$D$42</f>
        <v>15750000</v>
      </c>
      <c r="AL59" s="14" t="n">
        <f aca="false">AL58*Допущения!$D$42</f>
        <v>15750000</v>
      </c>
    </row>
    <row r="60" customFormat="false" ht="15" hidden="false" customHeight="false" outlineLevel="0" collapsed="false">
      <c r="A60" s="6" t="s">
        <v>180</v>
      </c>
      <c r="B60" s="3" t="s">
        <v>85</v>
      </c>
      <c r="C60" s="14" t="n">
        <f aca="false">C59*(Допущения!$C$6+Допущения!$C$7)*(1-Допущения!$C$13)</f>
        <v>0</v>
      </c>
      <c r="D60" s="14" t="n">
        <f aca="false">D59*(Допущения!$C$6+Допущения!$C$7)*(1-Допущения!$C$13)</f>
        <v>0</v>
      </c>
      <c r="E60" s="14" t="n">
        <f aca="false">E59*(Допущения!$C$6+Допущения!$C$7)*(1-Допущения!$C$13)</f>
        <v>0</v>
      </c>
      <c r="F60" s="14" t="n">
        <f aca="false">F59*(Допущения!$C$6+Допущения!$C$7)*(1-Допущения!$C$13)</f>
        <v>0</v>
      </c>
      <c r="G60" s="14" t="n">
        <f aca="false">G59*(Допущения!$C$6+Допущения!$C$7)*(1-Допущения!$C$13)</f>
        <v>0</v>
      </c>
      <c r="H60" s="14" t="n">
        <f aca="false">H59*(Допущения!$C$6+Допущения!$C$7)*(1-Допущения!$C$13)</f>
        <v>0</v>
      </c>
      <c r="I60" s="14" t="n">
        <f aca="false">I59*(Допущения!$C$6+Допущения!$C$7)*(1-Допущения!$C$13)</f>
        <v>0</v>
      </c>
      <c r="J60" s="14" t="n">
        <f aca="false">J59*(Допущения!$C$6+Допущения!$C$7)*(1-Допущения!$C$13)</f>
        <v>0</v>
      </c>
      <c r="K60" s="14" t="n">
        <f aca="false">K59*(Допущения!$C$6+Допущения!$C$7)*(1-Допущения!$C$13)</f>
        <v>0</v>
      </c>
      <c r="L60" s="14" t="n">
        <f aca="false">L59*(Допущения!$C$6+Допущения!$C$7)*(1-Допущения!$C$13)</f>
        <v>0</v>
      </c>
      <c r="M60" s="14" t="n">
        <f aca="false">M59*(Допущения!$C$6+Допущения!$C$7)*(1-Допущения!$C$13)</f>
        <v>0</v>
      </c>
      <c r="N60" s="14" t="n">
        <f aca="false">N59*(Допущения!$C$6+Допущения!$C$7)*(1-Допущения!$C$13)</f>
        <v>0</v>
      </c>
      <c r="O60" s="14" t="n">
        <f aca="false">O59*(Допущения!$C$6+Допущения!$C$7)*(1-Допущения!$C$13)</f>
        <v>381937.5</v>
      </c>
      <c r="P60" s="14" t="n">
        <f aca="false">P59*(Допущения!$C$6+Допущения!$C$7)*(1-Допущения!$C$13)</f>
        <v>381937.5</v>
      </c>
      <c r="Q60" s="14" t="n">
        <f aca="false">Q59*(Допущения!$C$6+Допущения!$C$7)*(1-Допущения!$C$13)</f>
        <v>381937.5</v>
      </c>
      <c r="R60" s="14" t="n">
        <f aca="false">R59*(Допущения!$C$6+Допущения!$C$7)*(1-Допущения!$C$13)</f>
        <v>381937.5</v>
      </c>
      <c r="S60" s="14" t="n">
        <f aca="false">S59*(Допущения!$C$6+Допущения!$C$7)*(1-Допущения!$C$13)</f>
        <v>381937.5</v>
      </c>
      <c r="T60" s="14" t="n">
        <f aca="false">T59*(Допущения!$C$6+Допущения!$C$7)*(1-Допущения!$C$13)</f>
        <v>381937.5</v>
      </c>
      <c r="U60" s="14" t="n">
        <f aca="false">U59*(Допущения!$C$6+Допущения!$C$7)*(1-Допущения!$C$13)</f>
        <v>381937.5</v>
      </c>
      <c r="V60" s="14" t="n">
        <f aca="false">V59*(Допущения!$C$6+Допущения!$C$7)*(1-Допущения!$C$13)</f>
        <v>381937.5</v>
      </c>
      <c r="W60" s="14" t="n">
        <f aca="false">W59*(Допущения!$C$6+Допущения!$C$7)*(1-Допущения!$C$13)</f>
        <v>381937.5</v>
      </c>
      <c r="X60" s="14" t="n">
        <f aca="false">X59*(Допущения!$C$6+Допущения!$C$7)*(1-Допущения!$C$13)</f>
        <v>381937.5</v>
      </c>
      <c r="Y60" s="14" t="n">
        <f aca="false">Y59*(Допущения!$C$6+Допущения!$C$7)*(1-Допущения!$C$13)</f>
        <v>381937.5</v>
      </c>
      <c r="Z60" s="14" t="n">
        <f aca="false">Z59*(Допущения!$C$6+Допущения!$C$7)*(1-Допущения!$C$13)</f>
        <v>381937.5</v>
      </c>
      <c r="AA60" s="14" t="n">
        <f aca="false">AA59*(Допущения!$C$6+Допущения!$C$7)*(1-Допущения!$C$13)</f>
        <v>763875</v>
      </c>
      <c r="AB60" s="14" t="n">
        <f aca="false">AB59*(Допущения!$C$6+Допущения!$C$7)*(1-Допущения!$C$13)</f>
        <v>763875</v>
      </c>
      <c r="AC60" s="14" t="n">
        <f aca="false">AC59*(Допущения!$C$6+Допущения!$C$7)*(1-Допущения!$C$13)</f>
        <v>763875</v>
      </c>
      <c r="AD60" s="14" t="n">
        <f aca="false">AD59*(Допущения!$C$6+Допущения!$C$7)*(1-Допущения!$C$13)</f>
        <v>763875</v>
      </c>
      <c r="AE60" s="14" t="n">
        <f aca="false">AE59*(Допущения!$C$6+Допущения!$C$7)*(1-Допущения!$C$13)</f>
        <v>763875</v>
      </c>
      <c r="AF60" s="14" t="n">
        <f aca="false">AF59*(Допущения!$C$6+Допущения!$C$7)*(1-Допущения!$C$13)</f>
        <v>763875</v>
      </c>
      <c r="AG60" s="14" t="n">
        <f aca="false">AG59*(Допущения!$C$6+Допущения!$C$7)*(1-Допущения!$C$13)</f>
        <v>763875</v>
      </c>
      <c r="AH60" s="14" t="n">
        <f aca="false">AH59*(Допущения!$C$6+Допущения!$C$7)*(1-Допущения!$C$13)</f>
        <v>763875</v>
      </c>
      <c r="AI60" s="14" t="n">
        <f aca="false">AI59*(Допущения!$C$6+Допущения!$C$7)*(1-Допущения!$C$13)</f>
        <v>763875</v>
      </c>
      <c r="AJ60" s="14" t="n">
        <f aca="false">AJ59*(Допущения!$C$6+Допущения!$C$7)*(1-Допущения!$C$13)</f>
        <v>763875</v>
      </c>
      <c r="AK60" s="14" t="n">
        <f aca="false">AK59*(Допущения!$C$6+Допущения!$C$7)*(1-Допущения!$C$13)</f>
        <v>763875</v>
      </c>
      <c r="AL60" s="14" t="n">
        <f aca="false">AL59*(Допущения!$C$6+Допущения!$C$7)*(1-Допущения!$C$13)</f>
        <v>763875</v>
      </c>
    </row>
    <row r="61" customFormat="false" ht="15" hidden="false" customHeight="false" outlineLevel="0" collapsed="false">
      <c r="A61" s="6" t="s">
        <v>181</v>
      </c>
      <c r="B61" s="3" t="s">
        <v>85</v>
      </c>
      <c r="C61" s="14" t="n">
        <f aca="false">C59*(1+Допущения!$C$6)*Допущения!$D$23</f>
        <v>0</v>
      </c>
      <c r="D61" s="14" t="n">
        <f aca="false">D59*(1+Допущения!$C$6)*Допущения!$D$23</f>
        <v>0</v>
      </c>
      <c r="E61" s="14" t="n">
        <f aca="false">E59*(1+Допущения!$C$6)*Допущения!$D$23</f>
        <v>0</v>
      </c>
      <c r="F61" s="14" t="n">
        <f aca="false">F59*(1+Допущения!$C$6)*Допущения!$D$23</f>
        <v>0</v>
      </c>
      <c r="G61" s="14" t="n">
        <f aca="false">G59*(1+Допущения!$C$6)*Допущения!$D$23</f>
        <v>0</v>
      </c>
      <c r="H61" s="14" t="n">
        <f aca="false">H59*(1+Допущения!$C$6)*Допущения!$D$23</f>
        <v>0</v>
      </c>
      <c r="I61" s="14" t="n">
        <f aca="false">I59*(1+Допущения!$C$6)*Допущения!$D$23</f>
        <v>0</v>
      </c>
      <c r="J61" s="14" t="n">
        <f aca="false">J59*(1+Допущения!$C$6)*Допущения!$D$23</f>
        <v>0</v>
      </c>
      <c r="K61" s="14" t="n">
        <f aca="false">K59*(1+Допущения!$C$6)*Допущения!$D$23</f>
        <v>0</v>
      </c>
      <c r="L61" s="14" t="n">
        <f aca="false">L59*(1+Допущения!$C$6)*Допущения!$D$23</f>
        <v>0</v>
      </c>
      <c r="M61" s="14" t="n">
        <f aca="false">M59*(1+Допущения!$C$6)*Допущения!$D$23</f>
        <v>0</v>
      </c>
      <c r="N61" s="14" t="n">
        <f aca="false">N59*(1+Допущения!$C$6)*Допущения!$D$23</f>
        <v>0</v>
      </c>
      <c r="O61" s="14" t="n">
        <f aca="false">O59*(1+Допущения!$C$6)*Допущения!$D$23</f>
        <v>165375</v>
      </c>
      <c r="P61" s="14" t="n">
        <f aca="false">P59*(1+Допущения!$C$6)*Допущения!$D$23</f>
        <v>165375</v>
      </c>
      <c r="Q61" s="14" t="n">
        <f aca="false">Q59*(1+Допущения!$C$6)*Допущения!$D$23</f>
        <v>165375</v>
      </c>
      <c r="R61" s="14" t="n">
        <f aca="false">R59*(1+Допущения!$C$6)*Допущения!$D$23</f>
        <v>165375</v>
      </c>
      <c r="S61" s="14" t="n">
        <f aca="false">S59*(1+Допущения!$C$6)*Допущения!$D$23</f>
        <v>165375</v>
      </c>
      <c r="T61" s="14" t="n">
        <f aca="false">T59*(1+Допущения!$C$6)*Допущения!$D$23</f>
        <v>165375</v>
      </c>
      <c r="U61" s="14" t="n">
        <f aca="false">U59*(1+Допущения!$C$6)*Допущения!$D$23</f>
        <v>165375</v>
      </c>
      <c r="V61" s="14" t="n">
        <f aca="false">V59*(1+Допущения!$C$6)*Допущения!$D$23</f>
        <v>165375</v>
      </c>
      <c r="W61" s="14" t="n">
        <f aca="false">W59*(1+Допущения!$C$6)*Допущения!$D$23</f>
        <v>165375</v>
      </c>
      <c r="X61" s="14" t="n">
        <f aca="false">X59*(1+Допущения!$C$6)*Допущения!$D$23</f>
        <v>165375</v>
      </c>
      <c r="Y61" s="14" t="n">
        <f aca="false">Y59*(1+Допущения!$C$6)*Допущения!$D$23</f>
        <v>165375</v>
      </c>
      <c r="Z61" s="14" t="n">
        <f aca="false">Z59*(1+Допущения!$C$6)*Допущения!$D$23</f>
        <v>165375</v>
      </c>
      <c r="AA61" s="14" t="n">
        <f aca="false">AA59*(1+Допущения!$C$6)*Допущения!$D$23</f>
        <v>330750</v>
      </c>
      <c r="AB61" s="14" t="n">
        <f aca="false">AB59*(1+Допущения!$C$6)*Допущения!$D$23</f>
        <v>330750</v>
      </c>
      <c r="AC61" s="14" t="n">
        <f aca="false">AC59*(1+Допущения!$C$6)*Допущения!$D$23</f>
        <v>330750</v>
      </c>
      <c r="AD61" s="14" t="n">
        <f aca="false">AD59*(1+Допущения!$C$6)*Допущения!$D$23</f>
        <v>330750</v>
      </c>
      <c r="AE61" s="14" t="n">
        <f aca="false">AE59*(1+Допущения!$C$6)*Допущения!$D$23</f>
        <v>330750</v>
      </c>
      <c r="AF61" s="14" t="n">
        <f aca="false">AF59*(1+Допущения!$C$6)*Допущения!$D$23</f>
        <v>330750</v>
      </c>
      <c r="AG61" s="14" t="n">
        <f aca="false">AG59*(1+Допущения!$C$6)*Допущения!$D$23</f>
        <v>330750</v>
      </c>
      <c r="AH61" s="14" t="n">
        <f aca="false">AH59*(1+Допущения!$C$6)*Допущения!$D$23</f>
        <v>330750</v>
      </c>
      <c r="AI61" s="14" t="n">
        <f aca="false">AI59*(1+Допущения!$C$6)*Допущения!$D$23</f>
        <v>330750</v>
      </c>
      <c r="AJ61" s="14" t="n">
        <f aca="false">AJ59*(1+Допущения!$C$6)*Допущения!$D$23</f>
        <v>330750</v>
      </c>
      <c r="AK61" s="14" t="n">
        <f aca="false">AK59*(1+Допущения!$C$6)*Допущения!$D$23</f>
        <v>330750</v>
      </c>
      <c r="AL61" s="14" t="n">
        <f aca="false">AL59*(1+Допущения!$C$6)*Допущения!$D$23</f>
        <v>330750</v>
      </c>
    </row>
    <row r="62" customFormat="false" ht="15" hidden="false" customHeight="false" outlineLevel="0" collapsed="false">
      <c r="A62" s="6" t="s">
        <v>182</v>
      </c>
      <c r="B62" s="3" t="s">
        <v>85</v>
      </c>
      <c r="C62" s="14" t="n">
        <f aca="false">C57/Допущения!$C$9*Допущения!$C$10+C57*Допущения!$C$11</f>
        <v>0</v>
      </c>
      <c r="D62" s="14" t="n">
        <f aca="false">D57/Допущения!$C$9*Допущения!$C$10+D57*Допущения!$C$11</f>
        <v>0</v>
      </c>
      <c r="E62" s="14" t="n">
        <f aca="false">E57/Допущения!$C$9*Допущения!$C$10+E57*Допущения!$C$11</f>
        <v>0</v>
      </c>
      <c r="F62" s="14" t="n">
        <f aca="false">F57/Допущения!$C$9*Допущения!$C$10+F57*Допущения!$C$11</f>
        <v>0</v>
      </c>
      <c r="G62" s="14" t="n">
        <f aca="false">G57/Допущения!$C$9*Допущения!$C$10+G57*Допущения!$C$11</f>
        <v>0</v>
      </c>
      <c r="H62" s="14" t="n">
        <f aca="false">H57/Допущения!$C$9*Допущения!$C$10+H57*Допущения!$C$11</f>
        <v>0</v>
      </c>
      <c r="I62" s="14" t="n">
        <f aca="false">I57/Допущения!$C$9*Допущения!$C$10+I57*Допущения!$C$11</f>
        <v>0</v>
      </c>
      <c r="J62" s="14" t="n">
        <f aca="false">J57/Допущения!$C$9*Допущения!$C$10+J57*Допущения!$C$11</f>
        <v>0</v>
      </c>
      <c r="K62" s="14" t="n">
        <f aca="false">K57/Допущения!$C$9*Допущения!$C$10+K57*Допущения!$C$11</f>
        <v>0</v>
      </c>
      <c r="L62" s="14" t="n">
        <f aca="false">L57/Допущения!$C$9*Допущения!$C$10+L57*Допущения!$C$11</f>
        <v>0</v>
      </c>
      <c r="M62" s="14" t="n">
        <f aca="false">M57/Допущения!$C$9*Допущения!$C$10+M57*Допущения!$C$11</f>
        <v>0</v>
      </c>
      <c r="N62" s="14" t="n">
        <f aca="false">N57/Допущения!$C$9*Допущения!$C$10+N57*Допущения!$C$11</f>
        <v>0</v>
      </c>
      <c r="O62" s="14" t="n">
        <f aca="false">O57/Допущения!$C$9*Допущения!$C$10+O57*Допущения!$C$11</f>
        <v>8750</v>
      </c>
      <c r="P62" s="14" t="n">
        <f aca="false">P57/Допущения!$C$9*Допущения!$C$10+P57*Допущения!$C$11</f>
        <v>8750</v>
      </c>
      <c r="Q62" s="14" t="n">
        <f aca="false">Q57/Допущения!$C$9*Допущения!$C$10+Q57*Допущения!$C$11</f>
        <v>8750</v>
      </c>
      <c r="R62" s="14" t="n">
        <f aca="false">R57/Допущения!$C$9*Допущения!$C$10+R57*Допущения!$C$11</f>
        <v>8750</v>
      </c>
      <c r="S62" s="14" t="n">
        <f aca="false">S57/Допущения!$C$9*Допущения!$C$10+S57*Допущения!$C$11</f>
        <v>8750</v>
      </c>
      <c r="T62" s="14" t="n">
        <f aca="false">T57/Допущения!$C$9*Допущения!$C$10+T57*Допущения!$C$11</f>
        <v>8750</v>
      </c>
      <c r="U62" s="14" t="n">
        <f aca="false">U57/Допущения!$C$9*Допущения!$C$10+U57*Допущения!$C$11</f>
        <v>8750</v>
      </c>
      <c r="V62" s="14" t="n">
        <f aca="false">V57/Допущения!$C$9*Допущения!$C$10+V57*Допущения!$C$11</f>
        <v>8750</v>
      </c>
      <c r="W62" s="14" t="n">
        <f aca="false">W57/Допущения!$C$9*Допущения!$C$10+W57*Допущения!$C$11</f>
        <v>8750</v>
      </c>
      <c r="X62" s="14" t="n">
        <f aca="false">X57/Допущения!$C$9*Допущения!$C$10+X57*Допущения!$C$11</f>
        <v>8750</v>
      </c>
      <c r="Y62" s="14" t="n">
        <f aca="false">Y57/Допущения!$C$9*Допущения!$C$10+Y57*Допущения!$C$11</f>
        <v>8750</v>
      </c>
      <c r="Z62" s="14" t="n">
        <f aca="false">Z57/Допущения!$C$9*Допущения!$C$10+Z57*Допущения!$C$11</f>
        <v>8750</v>
      </c>
      <c r="AA62" s="14" t="n">
        <f aca="false">AA57/Допущения!$C$9*Допущения!$C$10+AA57*Допущения!$C$11</f>
        <v>17500</v>
      </c>
      <c r="AB62" s="14" t="n">
        <f aca="false">AB57/Допущения!$C$9*Допущения!$C$10+AB57*Допущения!$C$11</f>
        <v>17500</v>
      </c>
      <c r="AC62" s="14" t="n">
        <f aca="false">AC57/Допущения!$C$9*Допущения!$C$10+AC57*Допущения!$C$11</f>
        <v>17500</v>
      </c>
      <c r="AD62" s="14" t="n">
        <f aca="false">AD57/Допущения!$C$9*Допущения!$C$10+AD57*Допущения!$C$11</f>
        <v>17500</v>
      </c>
      <c r="AE62" s="14" t="n">
        <f aca="false">AE57/Допущения!$C$9*Допущения!$C$10+AE57*Допущения!$C$11</f>
        <v>17500</v>
      </c>
      <c r="AF62" s="14" t="n">
        <f aca="false">AF57/Допущения!$C$9*Допущения!$C$10+AF57*Допущения!$C$11</f>
        <v>17500</v>
      </c>
      <c r="AG62" s="14" t="n">
        <f aca="false">AG57/Допущения!$C$9*Допущения!$C$10+AG57*Допущения!$C$11</f>
        <v>17500</v>
      </c>
      <c r="AH62" s="14" t="n">
        <f aca="false">AH57/Допущения!$C$9*Допущения!$C$10+AH57*Допущения!$C$11</f>
        <v>17500</v>
      </c>
      <c r="AI62" s="14" t="n">
        <f aca="false">AI57/Допущения!$C$9*Допущения!$C$10+AI57*Допущения!$C$11</f>
        <v>17500</v>
      </c>
      <c r="AJ62" s="14" t="n">
        <f aca="false">AJ57/Допущения!$C$9*Допущения!$C$10+AJ57*Допущения!$C$11</f>
        <v>17500</v>
      </c>
      <c r="AK62" s="14" t="n">
        <f aca="false">AK57/Допущения!$C$9*Допущения!$C$10+AK57*Допущения!$C$11</f>
        <v>17500</v>
      </c>
      <c r="AL62" s="14" t="n">
        <f aca="false">AL57/Допущения!$C$9*Допущения!$C$10+AL57*Допущения!$C$11</f>
        <v>17500</v>
      </c>
    </row>
    <row r="63" customFormat="false" ht="15" hidden="false" customHeight="false" outlineLevel="0" collapsed="false">
      <c r="A63" s="6" t="s">
        <v>183</v>
      </c>
      <c r="B63" s="3" t="s">
        <v>85</v>
      </c>
      <c r="C63" s="14" t="n">
        <f aca="false">C60*Допущения!$C$8</f>
        <v>0</v>
      </c>
      <c r="D63" s="14" t="n">
        <f aca="false">D60*Допущения!$C$8</f>
        <v>0</v>
      </c>
      <c r="E63" s="14" t="n">
        <f aca="false">E60*Допущения!$C$8</f>
        <v>0</v>
      </c>
      <c r="F63" s="14" t="n">
        <f aca="false">F60*Допущения!$C$8</f>
        <v>0</v>
      </c>
      <c r="G63" s="14" t="n">
        <f aca="false">G60*Допущения!$C$8</f>
        <v>0</v>
      </c>
      <c r="H63" s="14" t="n">
        <f aca="false">H60*Допущения!$C$8</f>
        <v>0</v>
      </c>
      <c r="I63" s="14" t="n">
        <f aca="false">I60*Допущения!$C$8</f>
        <v>0</v>
      </c>
      <c r="J63" s="14" t="n">
        <f aca="false">J60*Допущения!$C$8</f>
        <v>0</v>
      </c>
      <c r="K63" s="14" t="n">
        <f aca="false">K60*Допущения!$C$8</f>
        <v>0</v>
      </c>
      <c r="L63" s="14" t="n">
        <f aca="false">L60*Допущения!$C$8</f>
        <v>0</v>
      </c>
      <c r="M63" s="14" t="n">
        <f aca="false">M60*Допущения!$C$8</f>
        <v>0</v>
      </c>
      <c r="N63" s="14" t="n">
        <f aca="false">N60*Допущения!$C$8</f>
        <v>0</v>
      </c>
      <c r="O63" s="14" t="n">
        <f aca="false">O60*Допущения!$C$8</f>
        <v>15277.5</v>
      </c>
      <c r="P63" s="14" t="n">
        <f aca="false">P60*Допущения!$C$8</f>
        <v>15277.5</v>
      </c>
      <c r="Q63" s="14" t="n">
        <f aca="false">Q60*Допущения!$C$8</f>
        <v>15277.5</v>
      </c>
      <c r="R63" s="14" t="n">
        <f aca="false">R60*Допущения!$C$8</f>
        <v>15277.5</v>
      </c>
      <c r="S63" s="14" t="n">
        <f aca="false">S60*Допущения!$C$8</f>
        <v>15277.5</v>
      </c>
      <c r="T63" s="14" t="n">
        <f aca="false">T60*Допущения!$C$8</f>
        <v>15277.5</v>
      </c>
      <c r="U63" s="14" t="n">
        <f aca="false">U60*Допущения!$C$8</f>
        <v>15277.5</v>
      </c>
      <c r="V63" s="14" t="n">
        <f aca="false">V60*Допущения!$C$8</f>
        <v>15277.5</v>
      </c>
      <c r="W63" s="14" t="n">
        <f aca="false">W60*Допущения!$C$8</f>
        <v>15277.5</v>
      </c>
      <c r="X63" s="14" t="n">
        <f aca="false">X60*Допущения!$C$8</f>
        <v>15277.5</v>
      </c>
      <c r="Y63" s="14" t="n">
        <f aca="false">Y60*Допущения!$C$8</f>
        <v>15277.5</v>
      </c>
      <c r="Z63" s="14" t="n">
        <f aca="false">Z60*Допущения!$C$8</f>
        <v>15277.5</v>
      </c>
      <c r="AA63" s="14" t="n">
        <f aca="false">AA60*Допущения!$C$8</f>
        <v>30555</v>
      </c>
      <c r="AB63" s="14" t="n">
        <f aca="false">AB60*Допущения!$C$8</f>
        <v>30555</v>
      </c>
      <c r="AC63" s="14" t="n">
        <f aca="false">AC60*Допущения!$C$8</f>
        <v>30555</v>
      </c>
      <c r="AD63" s="14" t="n">
        <f aca="false">AD60*Допущения!$C$8</f>
        <v>30555</v>
      </c>
      <c r="AE63" s="14" t="n">
        <f aca="false">AE60*Допущения!$C$8</f>
        <v>30555</v>
      </c>
      <c r="AF63" s="14" t="n">
        <f aca="false">AF60*Допущения!$C$8</f>
        <v>30555</v>
      </c>
      <c r="AG63" s="14" t="n">
        <f aca="false">AG60*Допущения!$C$8</f>
        <v>30555</v>
      </c>
      <c r="AH63" s="14" t="n">
        <f aca="false">AH60*Допущения!$C$8</f>
        <v>30555</v>
      </c>
      <c r="AI63" s="14" t="n">
        <f aca="false">AI60*Допущения!$C$8</f>
        <v>30555</v>
      </c>
      <c r="AJ63" s="14" t="n">
        <f aca="false">AJ60*Допущения!$C$8</f>
        <v>30555</v>
      </c>
      <c r="AK63" s="14" t="n">
        <f aca="false">AK60*Допущения!$C$8</f>
        <v>30555</v>
      </c>
      <c r="AL63" s="14" t="n">
        <f aca="false">AL60*Допущения!$C$8</f>
        <v>30555</v>
      </c>
    </row>
    <row r="64" customFormat="false" ht="15" hidden="false" customHeight="false" outlineLevel="0" collapsed="false">
      <c r="A64" s="33" t="s">
        <v>184</v>
      </c>
      <c r="B64" s="34" t="s">
        <v>85</v>
      </c>
      <c r="C64" s="35" t="n">
        <f aca="false">C60-C61-C62-C63</f>
        <v>0</v>
      </c>
      <c r="D64" s="35" t="n">
        <f aca="false">D60-D61-D62-D63</f>
        <v>0</v>
      </c>
      <c r="E64" s="35" t="n">
        <f aca="false">E60-E61-E62-E63</f>
        <v>0</v>
      </c>
      <c r="F64" s="35" t="n">
        <f aca="false">F60-F61-F62-F63</f>
        <v>0</v>
      </c>
      <c r="G64" s="35" t="n">
        <f aca="false">G60-G61-G62-G63</f>
        <v>0</v>
      </c>
      <c r="H64" s="35" t="n">
        <f aca="false">H60-H61-H62-H63</f>
        <v>0</v>
      </c>
      <c r="I64" s="35" t="n">
        <f aca="false">I60-I61-I62-I63</f>
        <v>0</v>
      </c>
      <c r="J64" s="35" t="n">
        <f aca="false">J60-J61-J62-J63</f>
        <v>0</v>
      </c>
      <c r="K64" s="35" t="n">
        <f aca="false">K60-K61-K62-K63</f>
        <v>0</v>
      </c>
      <c r="L64" s="35" t="n">
        <f aca="false">L60-L61-L62-L63</f>
        <v>0</v>
      </c>
      <c r="M64" s="35" t="n">
        <f aca="false">M60-M61-M62-M63</f>
        <v>0</v>
      </c>
      <c r="N64" s="35" t="n">
        <f aca="false">N60-N61-N62-N63</f>
        <v>0</v>
      </c>
      <c r="O64" s="35" t="n">
        <f aca="false">O60-O61-O62-O63</f>
        <v>192535</v>
      </c>
      <c r="P64" s="35" t="n">
        <f aca="false">P60-P61-P62-P63</f>
        <v>192535</v>
      </c>
      <c r="Q64" s="35" t="n">
        <f aca="false">Q60-Q61-Q62-Q63</f>
        <v>192535</v>
      </c>
      <c r="R64" s="35" t="n">
        <f aca="false">R60-R61-R62-R63</f>
        <v>192535</v>
      </c>
      <c r="S64" s="35" t="n">
        <f aca="false">S60-S61-S62-S63</f>
        <v>192535</v>
      </c>
      <c r="T64" s="35" t="n">
        <f aca="false">T60-T61-T62-T63</f>
        <v>192535</v>
      </c>
      <c r="U64" s="35" t="n">
        <f aca="false">U60-U61-U62-U63</f>
        <v>192535</v>
      </c>
      <c r="V64" s="35" t="n">
        <f aca="false">V60-V61-V62-V63</f>
        <v>192535</v>
      </c>
      <c r="W64" s="35" t="n">
        <f aca="false">W60-W61-W62-W63</f>
        <v>192535</v>
      </c>
      <c r="X64" s="35" t="n">
        <f aca="false">X60-X61-X62-X63</f>
        <v>192535</v>
      </c>
      <c r="Y64" s="35" t="n">
        <f aca="false">Y60-Y61-Y62-Y63</f>
        <v>192535</v>
      </c>
      <c r="Z64" s="35" t="n">
        <f aca="false">Z60-Z61-Z62-Z63</f>
        <v>192535</v>
      </c>
      <c r="AA64" s="35" t="n">
        <f aca="false">AA60-AA61-AA62-AA63</f>
        <v>385070</v>
      </c>
      <c r="AB64" s="35" t="n">
        <f aca="false">AB60-AB61-AB62-AB63</f>
        <v>385070</v>
      </c>
      <c r="AC64" s="35" t="n">
        <f aca="false">AC60-AC61-AC62-AC63</f>
        <v>385070</v>
      </c>
      <c r="AD64" s="35" t="n">
        <f aca="false">AD60-AD61-AD62-AD63</f>
        <v>385070</v>
      </c>
      <c r="AE64" s="35" t="n">
        <f aca="false">AE60-AE61-AE62-AE63</f>
        <v>385070</v>
      </c>
      <c r="AF64" s="35" t="n">
        <f aca="false">AF60-AF61-AF62-AF63</f>
        <v>385070</v>
      </c>
      <c r="AG64" s="35" t="n">
        <f aca="false">AG60-AG61-AG62-AG63</f>
        <v>385070</v>
      </c>
      <c r="AH64" s="35" t="n">
        <f aca="false">AH60-AH61-AH62-AH63</f>
        <v>385070</v>
      </c>
      <c r="AI64" s="35" t="n">
        <f aca="false">AI60-AI61-AI62-AI63</f>
        <v>385070</v>
      </c>
      <c r="AJ64" s="35" t="n">
        <f aca="false">AJ60-AJ61-AJ62-AJ63</f>
        <v>385070</v>
      </c>
      <c r="AK64" s="35" t="n">
        <f aca="false">AK60-AK61-AK62-AK63</f>
        <v>385070</v>
      </c>
      <c r="AL64" s="35" t="n">
        <f aca="false">AL60-AL61-AL62-AL63</f>
        <v>385070</v>
      </c>
    </row>
    <row r="65" customFormat="false" ht="15" hidden="false" customHeight="false" outlineLevel="0" collapsed="false">
      <c r="A65" s="6" t="s">
        <v>185</v>
      </c>
      <c r="B65" s="3" t="s">
        <v>85</v>
      </c>
      <c r="C65" s="14" t="n">
        <f aca="false">C56*Допущения!$D$43</f>
        <v>0</v>
      </c>
      <c r="D65" s="14" t="n">
        <f aca="false">D56*Допущения!$D$43</f>
        <v>0</v>
      </c>
      <c r="E65" s="14" t="n">
        <f aca="false">E56*Допущения!$D$43</f>
        <v>0</v>
      </c>
      <c r="F65" s="14" t="n">
        <f aca="false">F56*Допущения!$D$43</f>
        <v>0</v>
      </c>
      <c r="G65" s="14" t="n">
        <f aca="false">G56*Допущения!$D$43</f>
        <v>0</v>
      </c>
      <c r="H65" s="14" t="n">
        <f aca="false">H56*Допущения!$D$43</f>
        <v>0</v>
      </c>
      <c r="I65" s="14" t="n">
        <f aca="false">I56*Допущения!$D$43</f>
        <v>0</v>
      </c>
      <c r="J65" s="14" t="n">
        <f aca="false">J56*Допущения!$D$43</f>
        <v>0</v>
      </c>
      <c r="K65" s="14" t="n">
        <f aca="false">K56*Допущения!$D$43</f>
        <v>0</v>
      </c>
      <c r="L65" s="14" t="n">
        <f aca="false">L56*Допущения!$D$43</f>
        <v>0</v>
      </c>
      <c r="M65" s="14" t="n">
        <f aca="false">M56*Допущения!$D$43</f>
        <v>0</v>
      </c>
      <c r="N65" s="14" t="n">
        <f aca="false">N56*Допущения!$D$43</f>
        <v>0</v>
      </c>
      <c r="O65" s="14" t="n">
        <f aca="false">O56*Допущения!$D$43</f>
        <v>83333.3333333333</v>
      </c>
      <c r="P65" s="14" t="n">
        <f aca="false">P56*Допущения!$D$43</f>
        <v>83333.3333333333</v>
      </c>
      <c r="Q65" s="14" t="n">
        <f aca="false">Q56*Допущения!$D$43</f>
        <v>83333.3333333333</v>
      </c>
      <c r="R65" s="14" t="n">
        <f aca="false">R56*Допущения!$D$43</f>
        <v>83333.3333333333</v>
      </c>
      <c r="S65" s="14" t="n">
        <f aca="false">S56*Допущения!$D$43</f>
        <v>83333.3333333333</v>
      </c>
      <c r="T65" s="14" t="n">
        <f aca="false">T56*Допущения!$D$43</f>
        <v>83333.3333333333</v>
      </c>
      <c r="U65" s="14" t="n">
        <f aca="false">U56*Допущения!$D$43</f>
        <v>83333.3333333333</v>
      </c>
      <c r="V65" s="14" t="n">
        <f aca="false">V56*Допущения!$D$43</f>
        <v>83333.3333333333</v>
      </c>
      <c r="W65" s="14" t="n">
        <f aca="false">W56*Допущения!$D$43</f>
        <v>83333.3333333333</v>
      </c>
      <c r="X65" s="14" t="n">
        <f aca="false">X56*Допущения!$D$43</f>
        <v>83333.3333333333</v>
      </c>
      <c r="Y65" s="14" t="n">
        <f aca="false">Y56*Допущения!$D$43</f>
        <v>83333.3333333333</v>
      </c>
      <c r="Z65" s="14" t="n">
        <f aca="false">Z56*Допущения!$D$43</f>
        <v>83333.3333333333</v>
      </c>
      <c r="AA65" s="14" t="n">
        <f aca="false">AA56*Допущения!$D$43</f>
        <v>166666.666666667</v>
      </c>
      <c r="AB65" s="14" t="n">
        <f aca="false">AB56*Допущения!$D$43</f>
        <v>166666.666666667</v>
      </c>
      <c r="AC65" s="14" t="n">
        <f aca="false">AC56*Допущения!$D$43</f>
        <v>166666.666666667</v>
      </c>
      <c r="AD65" s="14" t="n">
        <f aca="false">AD56*Допущения!$D$43</f>
        <v>166666.666666667</v>
      </c>
      <c r="AE65" s="14" t="n">
        <f aca="false">AE56*Допущения!$D$43</f>
        <v>166666.666666667</v>
      </c>
      <c r="AF65" s="14" t="n">
        <f aca="false">AF56*Допущения!$D$43</f>
        <v>166666.666666667</v>
      </c>
      <c r="AG65" s="14" t="n">
        <f aca="false">AG56*Допущения!$D$43</f>
        <v>166666.666666667</v>
      </c>
      <c r="AH65" s="14" t="n">
        <f aca="false">AH56*Допущения!$D$43</f>
        <v>166666.666666667</v>
      </c>
      <c r="AI65" s="14" t="n">
        <f aca="false">AI56*Допущения!$D$43</f>
        <v>166666.666666667</v>
      </c>
      <c r="AJ65" s="14" t="n">
        <f aca="false">AJ56*Допущения!$D$43</f>
        <v>166666.666666667</v>
      </c>
      <c r="AK65" s="14" t="n">
        <f aca="false">AK56*Допущения!$D$43</f>
        <v>166666.666666667</v>
      </c>
      <c r="AL65" s="14" t="n">
        <f aca="false">AL56*Допущения!$D$43</f>
        <v>166666.666666667</v>
      </c>
    </row>
    <row r="66" customFormat="false" ht="15" hidden="false" customHeight="false" outlineLevel="0" collapsed="false">
      <c r="A66" s="6" t="s">
        <v>186</v>
      </c>
      <c r="B66" s="3" t="s">
        <v>85</v>
      </c>
      <c r="C66" s="14" t="n">
        <f aca="false">C44*Допущения!$D$30</f>
        <v>450000</v>
      </c>
      <c r="D66" s="14" t="n">
        <f aca="false">D44*Допущения!$D$30</f>
        <v>450000</v>
      </c>
      <c r="E66" s="14" t="n">
        <f aca="false">E44*Допущения!$D$30</f>
        <v>450000</v>
      </c>
      <c r="F66" s="14" t="n">
        <f aca="false">F44*Допущения!$D$30</f>
        <v>450000</v>
      </c>
      <c r="G66" s="14" t="n">
        <f aca="false">G44*Допущения!$D$30</f>
        <v>450000</v>
      </c>
      <c r="H66" s="14" t="n">
        <f aca="false">H44*Допущения!$D$30</f>
        <v>450000</v>
      </c>
      <c r="I66" s="14" t="n">
        <f aca="false">I44*Допущения!$D$30</f>
        <v>450000</v>
      </c>
      <c r="J66" s="14" t="n">
        <f aca="false">J44*Допущения!$D$30</f>
        <v>450000</v>
      </c>
      <c r="K66" s="14" t="n">
        <f aca="false">K44*Допущения!$D$30</f>
        <v>450000</v>
      </c>
      <c r="L66" s="14" t="n">
        <f aca="false">L44*Допущения!$D$30</f>
        <v>450000</v>
      </c>
      <c r="M66" s="14" t="n">
        <f aca="false">M44*Допущения!$D$30</f>
        <v>450000</v>
      </c>
      <c r="N66" s="14" t="n">
        <f aca="false">N44*Допущения!$D$30</f>
        <v>450000</v>
      </c>
      <c r="O66" s="14" t="n">
        <f aca="false">O44*Допущения!$D$30</f>
        <v>750000</v>
      </c>
      <c r="P66" s="14" t="n">
        <f aca="false">P44*Допущения!$D$30</f>
        <v>750000</v>
      </c>
      <c r="Q66" s="14" t="n">
        <f aca="false">Q44*Допущения!$D$30</f>
        <v>750000</v>
      </c>
      <c r="R66" s="14" t="n">
        <f aca="false">R44*Допущения!$D$30</f>
        <v>750000</v>
      </c>
      <c r="S66" s="14" t="n">
        <f aca="false">S44*Допущения!$D$30</f>
        <v>750000</v>
      </c>
      <c r="T66" s="14" t="n">
        <f aca="false">T44*Допущения!$D$30</f>
        <v>750000</v>
      </c>
      <c r="U66" s="14" t="n">
        <f aca="false">U44*Допущения!$D$30</f>
        <v>750000</v>
      </c>
      <c r="V66" s="14" t="n">
        <f aca="false">V44*Допущения!$D$30</f>
        <v>750000</v>
      </c>
      <c r="W66" s="14" t="n">
        <f aca="false">W44*Допущения!$D$30</f>
        <v>750000</v>
      </c>
      <c r="X66" s="14" t="n">
        <f aca="false">X44*Допущения!$D$30</f>
        <v>750000</v>
      </c>
      <c r="Y66" s="14" t="n">
        <f aca="false">Y44*Допущения!$D$30</f>
        <v>750000</v>
      </c>
      <c r="Z66" s="14" t="n">
        <f aca="false">Z44*Допущения!$D$30</f>
        <v>750000</v>
      </c>
      <c r="AA66" s="14" t="n">
        <f aca="false">AA44*Допущения!$D$30</f>
        <v>1050000</v>
      </c>
      <c r="AB66" s="14" t="n">
        <f aca="false">AB44*Допущения!$D$30</f>
        <v>1050000</v>
      </c>
      <c r="AC66" s="14" t="n">
        <f aca="false">AC44*Допущения!$D$30</f>
        <v>1050000</v>
      </c>
      <c r="AD66" s="14" t="n">
        <f aca="false">AD44*Допущения!$D$30</f>
        <v>1050000</v>
      </c>
      <c r="AE66" s="14" t="n">
        <f aca="false">AE44*Допущения!$D$30</f>
        <v>1050000</v>
      </c>
      <c r="AF66" s="14" t="n">
        <f aca="false">AF44*Допущения!$D$30</f>
        <v>1050000</v>
      </c>
      <c r="AG66" s="14" t="n">
        <f aca="false">AG44*Допущения!$D$30</f>
        <v>1050000</v>
      </c>
      <c r="AH66" s="14" t="n">
        <f aca="false">AH44*Допущения!$D$30</f>
        <v>1050000</v>
      </c>
      <c r="AI66" s="14" t="n">
        <f aca="false">AI44*Допущения!$D$30</f>
        <v>1050000</v>
      </c>
      <c r="AJ66" s="14" t="n">
        <f aca="false">AJ44*Допущения!$D$30</f>
        <v>1050000</v>
      </c>
      <c r="AK66" s="14" t="n">
        <f aca="false">AK44*Допущения!$D$30</f>
        <v>1050000</v>
      </c>
      <c r="AL66" s="14" t="n">
        <f aca="false">AL44*Допущения!$D$30</f>
        <v>1050000</v>
      </c>
    </row>
    <row r="67" customFormat="false" ht="15" hidden="false" customHeight="false" outlineLevel="0" collapsed="false">
      <c r="A67" s="6" t="s">
        <v>187</v>
      </c>
      <c r="B67" s="3" t="s">
        <v>85</v>
      </c>
      <c r="C67" s="14" t="n">
        <f aca="false">CHOOSE(C$6,Допущения!$C$18,Допущения!$D$18,Допущения!$E$18)</f>
        <v>60000</v>
      </c>
      <c r="D67" s="14" t="n">
        <f aca="false">CHOOSE(D$6,Допущения!$C$18,Допущения!$D$18,Допущения!$E$18)</f>
        <v>60000</v>
      </c>
      <c r="E67" s="14" t="n">
        <f aca="false">CHOOSE(E$6,Допущения!$C$18,Допущения!$D$18,Допущения!$E$18)</f>
        <v>60000</v>
      </c>
      <c r="F67" s="14" t="n">
        <f aca="false">CHOOSE(F$6,Допущения!$C$18,Допущения!$D$18,Допущения!$E$18)</f>
        <v>60000</v>
      </c>
      <c r="G67" s="14" t="n">
        <f aca="false">CHOOSE(G$6,Допущения!$C$18,Допущения!$D$18,Допущения!$E$18)</f>
        <v>60000</v>
      </c>
      <c r="H67" s="14" t="n">
        <f aca="false">CHOOSE(H$6,Допущения!$C$18,Допущения!$D$18,Допущения!$E$18)</f>
        <v>60000</v>
      </c>
      <c r="I67" s="14" t="n">
        <f aca="false">CHOOSE(I$6,Допущения!$C$18,Допущения!$D$18,Допущения!$E$18)</f>
        <v>60000</v>
      </c>
      <c r="J67" s="14" t="n">
        <f aca="false">CHOOSE(J$6,Допущения!$C$18,Допущения!$D$18,Допущения!$E$18)</f>
        <v>60000</v>
      </c>
      <c r="K67" s="14" t="n">
        <f aca="false">CHOOSE(K$6,Допущения!$C$18,Допущения!$D$18,Допущения!$E$18)</f>
        <v>60000</v>
      </c>
      <c r="L67" s="14" t="n">
        <f aca="false">CHOOSE(L$6,Допущения!$C$18,Допущения!$D$18,Допущения!$E$18)</f>
        <v>60000</v>
      </c>
      <c r="M67" s="14" t="n">
        <f aca="false">CHOOSE(M$6,Допущения!$C$18,Допущения!$D$18,Допущения!$E$18)</f>
        <v>60000</v>
      </c>
      <c r="N67" s="14" t="n">
        <f aca="false">CHOOSE(N$6,Допущения!$C$18,Допущения!$D$18,Допущения!$E$18)</f>
        <v>60000</v>
      </c>
      <c r="O67" s="14" t="n">
        <f aca="false">CHOOSE(O$6,Допущения!$C$18,Допущения!$D$18,Допущения!$E$18)</f>
        <v>120000</v>
      </c>
      <c r="P67" s="14" t="n">
        <f aca="false">CHOOSE(P$6,Допущения!$C$18,Допущения!$D$18,Допущения!$E$18)</f>
        <v>120000</v>
      </c>
      <c r="Q67" s="14" t="n">
        <f aca="false">CHOOSE(Q$6,Допущения!$C$18,Допущения!$D$18,Допущения!$E$18)</f>
        <v>120000</v>
      </c>
      <c r="R67" s="14" t="n">
        <f aca="false">CHOOSE(R$6,Допущения!$C$18,Допущения!$D$18,Допущения!$E$18)</f>
        <v>120000</v>
      </c>
      <c r="S67" s="14" t="n">
        <f aca="false">CHOOSE(S$6,Допущения!$C$18,Допущения!$D$18,Допущения!$E$18)</f>
        <v>120000</v>
      </c>
      <c r="T67" s="14" t="n">
        <f aca="false">CHOOSE(T$6,Допущения!$C$18,Допущения!$D$18,Допущения!$E$18)</f>
        <v>120000</v>
      </c>
      <c r="U67" s="14" t="n">
        <f aca="false">CHOOSE(U$6,Допущения!$C$18,Допущения!$D$18,Допущения!$E$18)</f>
        <v>120000</v>
      </c>
      <c r="V67" s="14" t="n">
        <f aca="false">CHOOSE(V$6,Допущения!$C$18,Допущения!$D$18,Допущения!$E$18)</f>
        <v>120000</v>
      </c>
      <c r="W67" s="14" t="n">
        <f aca="false">CHOOSE(W$6,Допущения!$C$18,Допущения!$D$18,Допущения!$E$18)</f>
        <v>120000</v>
      </c>
      <c r="X67" s="14" t="n">
        <f aca="false">CHOOSE(X$6,Допущения!$C$18,Допущения!$D$18,Допущения!$E$18)</f>
        <v>120000</v>
      </c>
      <c r="Y67" s="14" t="n">
        <f aca="false">CHOOSE(Y$6,Допущения!$C$18,Допущения!$D$18,Допущения!$E$18)</f>
        <v>120000</v>
      </c>
      <c r="Z67" s="14" t="n">
        <f aca="false">CHOOSE(Z$6,Допущения!$C$18,Допущения!$D$18,Допущения!$E$18)</f>
        <v>120000</v>
      </c>
      <c r="AA67" s="14" t="n">
        <f aca="false">CHOOSE(AA$6,Допущения!$C$18,Допущения!$D$18,Допущения!$E$18)</f>
        <v>200000</v>
      </c>
      <c r="AB67" s="14" t="n">
        <f aca="false">CHOOSE(AB$6,Допущения!$C$18,Допущения!$D$18,Допущения!$E$18)</f>
        <v>200000</v>
      </c>
      <c r="AC67" s="14" t="n">
        <f aca="false">CHOOSE(AC$6,Допущения!$C$18,Допущения!$D$18,Допущения!$E$18)</f>
        <v>200000</v>
      </c>
      <c r="AD67" s="14" t="n">
        <f aca="false">CHOOSE(AD$6,Допущения!$C$18,Допущения!$D$18,Допущения!$E$18)</f>
        <v>200000</v>
      </c>
      <c r="AE67" s="14" t="n">
        <f aca="false">CHOOSE(AE$6,Допущения!$C$18,Допущения!$D$18,Допущения!$E$18)</f>
        <v>200000</v>
      </c>
      <c r="AF67" s="14" t="n">
        <f aca="false">CHOOSE(AF$6,Допущения!$C$18,Допущения!$D$18,Допущения!$E$18)</f>
        <v>200000</v>
      </c>
      <c r="AG67" s="14" t="n">
        <f aca="false">CHOOSE(AG$6,Допущения!$C$18,Допущения!$D$18,Допущения!$E$18)</f>
        <v>200000</v>
      </c>
      <c r="AH67" s="14" t="n">
        <f aca="false">CHOOSE(AH$6,Допущения!$C$18,Допущения!$D$18,Допущения!$E$18)</f>
        <v>200000</v>
      </c>
      <c r="AI67" s="14" t="n">
        <f aca="false">CHOOSE(AI$6,Допущения!$C$18,Допущения!$D$18,Допущения!$E$18)</f>
        <v>200000</v>
      </c>
      <c r="AJ67" s="14" t="n">
        <f aca="false">CHOOSE(AJ$6,Допущения!$C$18,Допущения!$D$18,Допущения!$E$18)</f>
        <v>200000</v>
      </c>
      <c r="AK67" s="14" t="n">
        <f aca="false">CHOOSE(AK$6,Допущения!$C$18,Допущения!$D$18,Допущения!$E$18)</f>
        <v>200000</v>
      </c>
      <c r="AL67" s="14" t="n">
        <f aca="false">CHOOSE(AL$6,Допущения!$C$18,Допущения!$D$18,Допущения!$E$18)</f>
        <v>200000</v>
      </c>
    </row>
    <row r="68" customFormat="false" ht="15" hidden="false" customHeight="false" outlineLevel="0" collapsed="false">
      <c r="A68" s="6" t="s">
        <v>188</v>
      </c>
      <c r="B68" s="3" t="s">
        <v>85</v>
      </c>
      <c r="C68" s="14" t="n">
        <f aca="false">Допущения!$C$15+IF(C$4=1,Допущения!$C$14,0)</f>
        <v>840000</v>
      </c>
      <c r="D68" s="14" t="n">
        <f aca="false">Допущения!$C$15+IF(D$4=1,Допущения!$C$14,0)</f>
        <v>40000</v>
      </c>
      <c r="E68" s="14" t="n">
        <f aca="false">Допущения!$C$15+IF(E$4=1,Допущения!$C$14,0)</f>
        <v>40000</v>
      </c>
      <c r="F68" s="14" t="n">
        <f aca="false">Допущения!$C$15+IF(F$4=1,Допущения!$C$14,0)</f>
        <v>40000</v>
      </c>
      <c r="G68" s="14" t="n">
        <f aca="false">Допущения!$C$15+IF(G$4=1,Допущения!$C$14,0)</f>
        <v>40000</v>
      </c>
      <c r="H68" s="14" t="n">
        <f aca="false">Допущения!$C$15+IF(H$4=1,Допущения!$C$14,0)</f>
        <v>40000</v>
      </c>
      <c r="I68" s="14" t="n">
        <f aca="false">Допущения!$C$15+IF(I$4=1,Допущения!$C$14,0)</f>
        <v>40000</v>
      </c>
      <c r="J68" s="14" t="n">
        <f aca="false">Допущения!$C$15+IF(J$4=1,Допущения!$C$14,0)</f>
        <v>40000</v>
      </c>
      <c r="K68" s="14" t="n">
        <f aca="false">Допущения!$C$15+IF(K$4=1,Допущения!$C$14,0)</f>
        <v>40000</v>
      </c>
      <c r="L68" s="14" t="n">
        <f aca="false">Допущения!$C$15+IF(L$4=1,Допущения!$C$14,0)</f>
        <v>40000</v>
      </c>
      <c r="M68" s="14" t="n">
        <f aca="false">Допущения!$C$15+IF(M$4=1,Допущения!$C$14,0)</f>
        <v>40000</v>
      </c>
      <c r="N68" s="14" t="n">
        <f aca="false">Допущения!$C$15+IF(N$4=1,Допущения!$C$14,0)</f>
        <v>40000</v>
      </c>
      <c r="O68" s="14" t="n">
        <f aca="false">Допущения!$C$15+IF(O$4=1,Допущения!$C$14,0)</f>
        <v>40000</v>
      </c>
      <c r="P68" s="14" t="n">
        <f aca="false">Допущения!$C$15+IF(P$4=1,Допущения!$C$14,0)</f>
        <v>40000</v>
      </c>
      <c r="Q68" s="14" t="n">
        <f aca="false">Допущения!$C$15+IF(Q$4=1,Допущения!$C$14,0)</f>
        <v>40000</v>
      </c>
      <c r="R68" s="14" t="n">
        <f aca="false">Допущения!$C$15+IF(R$4=1,Допущения!$C$14,0)</f>
        <v>40000</v>
      </c>
      <c r="S68" s="14" t="n">
        <f aca="false">Допущения!$C$15+IF(S$4=1,Допущения!$C$14,0)</f>
        <v>40000</v>
      </c>
      <c r="T68" s="14" t="n">
        <f aca="false">Допущения!$C$15+IF(T$4=1,Допущения!$C$14,0)</f>
        <v>40000</v>
      </c>
      <c r="U68" s="14" t="n">
        <f aca="false">Допущения!$C$15+IF(U$4=1,Допущения!$C$14,0)</f>
        <v>40000</v>
      </c>
      <c r="V68" s="14" t="n">
        <f aca="false">Допущения!$C$15+IF(V$4=1,Допущения!$C$14,0)</f>
        <v>40000</v>
      </c>
      <c r="W68" s="14" t="n">
        <f aca="false">Допущения!$C$15+IF(W$4=1,Допущения!$C$14,0)</f>
        <v>40000</v>
      </c>
      <c r="X68" s="14" t="n">
        <f aca="false">Допущения!$C$15+IF(X$4=1,Допущения!$C$14,0)</f>
        <v>40000</v>
      </c>
      <c r="Y68" s="14" t="n">
        <f aca="false">Допущения!$C$15+IF(Y$4=1,Допущения!$C$14,0)</f>
        <v>40000</v>
      </c>
      <c r="Z68" s="14" t="n">
        <f aca="false">Допущения!$C$15+IF(Z$4=1,Допущения!$C$14,0)</f>
        <v>40000</v>
      </c>
      <c r="AA68" s="14" t="n">
        <f aca="false">Допущения!$C$15+IF(AA$4=1,Допущения!$C$14,0)</f>
        <v>40000</v>
      </c>
      <c r="AB68" s="14" t="n">
        <f aca="false">Допущения!$C$15+IF(AB$4=1,Допущения!$C$14,0)</f>
        <v>40000</v>
      </c>
      <c r="AC68" s="14" t="n">
        <f aca="false">Допущения!$C$15+IF(AC$4=1,Допущения!$C$14,0)</f>
        <v>40000</v>
      </c>
      <c r="AD68" s="14" t="n">
        <f aca="false">Допущения!$C$15+IF(AD$4=1,Допущения!$C$14,0)</f>
        <v>40000</v>
      </c>
      <c r="AE68" s="14" t="n">
        <f aca="false">Допущения!$C$15+IF(AE$4=1,Допущения!$C$14,0)</f>
        <v>40000</v>
      </c>
      <c r="AF68" s="14" t="n">
        <f aca="false">Допущения!$C$15+IF(AF$4=1,Допущения!$C$14,0)</f>
        <v>40000</v>
      </c>
      <c r="AG68" s="14" t="n">
        <f aca="false">Допущения!$C$15+IF(AG$4=1,Допущения!$C$14,0)</f>
        <v>40000</v>
      </c>
      <c r="AH68" s="14" t="n">
        <f aca="false">Допущения!$C$15+IF(AH$4=1,Допущения!$C$14,0)</f>
        <v>40000</v>
      </c>
      <c r="AI68" s="14" t="n">
        <f aca="false">Допущения!$C$15+IF(AI$4=1,Допущения!$C$14,0)</f>
        <v>40000</v>
      </c>
      <c r="AJ68" s="14" t="n">
        <f aca="false">Допущения!$C$15+IF(AJ$4=1,Допущения!$C$14,0)</f>
        <v>40000</v>
      </c>
      <c r="AK68" s="14" t="n">
        <f aca="false">Допущения!$C$15+IF(AK$4=1,Допущения!$C$14,0)</f>
        <v>40000</v>
      </c>
      <c r="AL68" s="14" t="n">
        <f aca="false">Допущения!$C$15+IF(AL$4=1,Допущения!$C$14,0)</f>
        <v>40000</v>
      </c>
    </row>
    <row r="69" customFormat="false" ht="15" hidden="false" customHeight="false" outlineLevel="0" collapsed="false">
      <c r="A69" s="6" t="s">
        <v>189</v>
      </c>
      <c r="B69" s="3" t="s">
        <v>85</v>
      </c>
      <c r="C69" s="14" t="n">
        <f aca="false">CHOOSE(C$6,Допущения!$C$19,Допущения!$D$19,Допущения!$E$19)</f>
        <v>0</v>
      </c>
      <c r="D69" s="14" t="n">
        <f aca="false">CHOOSE(D$6,Допущения!$C$19,Допущения!$D$19,Допущения!$E$19)</f>
        <v>0</v>
      </c>
      <c r="E69" s="14" t="n">
        <f aca="false">CHOOSE(E$6,Допущения!$C$19,Допущения!$D$19,Допущения!$E$19)</f>
        <v>0</v>
      </c>
      <c r="F69" s="14" t="n">
        <f aca="false">CHOOSE(F$6,Допущения!$C$19,Допущения!$D$19,Допущения!$E$19)</f>
        <v>0</v>
      </c>
      <c r="G69" s="14" t="n">
        <f aca="false">CHOOSE(G$6,Допущения!$C$19,Допущения!$D$19,Допущения!$E$19)</f>
        <v>0</v>
      </c>
      <c r="H69" s="14" t="n">
        <f aca="false">CHOOSE(H$6,Допущения!$C$19,Допущения!$D$19,Допущения!$E$19)</f>
        <v>0</v>
      </c>
      <c r="I69" s="14" t="n">
        <f aca="false">CHOOSE(I$6,Допущения!$C$19,Допущения!$D$19,Допущения!$E$19)</f>
        <v>0</v>
      </c>
      <c r="J69" s="14" t="n">
        <f aca="false">CHOOSE(J$6,Допущения!$C$19,Допущения!$D$19,Допущения!$E$19)</f>
        <v>0</v>
      </c>
      <c r="K69" s="14" t="n">
        <f aca="false">CHOOSE(K$6,Допущения!$C$19,Допущения!$D$19,Допущения!$E$19)</f>
        <v>0</v>
      </c>
      <c r="L69" s="14" t="n">
        <f aca="false">CHOOSE(L$6,Допущения!$C$19,Допущения!$D$19,Допущения!$E$19)</f>
        <v>0</v>
      </c>
      <c r="M69" s="14" t="n">
        <f aca="false">CHOOSE(M$6,Допущения!$C$19,Допущения!$D$19,Допущения!$E$19)</f>
        <v>0</v>
      </c>
      <c r="N69" s="14" t="n">
        <f aca="false">CHOOSE(N$6,Допущения!$C$19,Допущения!$D$19,Допущения!$E$19)</f>
        <v>0</v>
      </c>
      <c r="O69" s="14" t="n">
        <f aca="false">CHOOSE(O$6,Допущения!$C$19,Допущения!$D$19,Допущения!$E$19)</f>
        <v>300000</v>
      </c>
      <c r="P69" s="14" t="n">
        <f aca="false">CHOOSE(P$6,Допущения!$C$19,Допущения!$D$19,Допущения!$E$19)</f>
        <v>300000</v>
      </c>
      <c r="Q69" s="14" t="n">
        <f aca="false">CHOOSE(Q$6,Допущения!$C$19,Допущения!$D$19,Допущения!$E$19)</f>
        <v>300000</v>
      </c>
      <c r="R69" s="14" t="n">
        <f aca="false">CHOOSE(R$6,Допущения!$C$19,Допущения!$D$19,Допущения!$E$19)</f>
        <v>300000</v>
      </c>
      <c r="S69" s="14" t="n">
        <f aca="false">CHOOSE(S$6,Допущения!$C$19,Допущения!$D$19,Допущения!$E$19)</f>
        <v>300000</v>
      </c>
      <c r="T69" s="14" t="n">
        <f aca="false">CHOOSE(T$6,Допущения!$C$19,Допущения!$D$19,Допущения!$E$19)</f>
        <v>300000</v>
      </c>
      <c r="U69" s="14" t="n">
        <f aca="false">CHOOSE(U$6,Допущения!$C$19,Допущения!$D$19,Допущения!$E$19)</f>
        <v>300000</v>
      </c>
      <c r="V69" s="14" t="n">
        <f aca="false">CHOOSE(V$6,Допущения!$C$19,Допущения!$D$19,Допущения!$E$19)</f>
        <v>300000</v>
      </c>
      <c r="W69" s="14" t="n">
        <f aca="false">CHOOSE(W$6,Допущения!$C$19,Допущения!$D$19,Допущения!$E$19)</f>
        <v>300000</v>
      </c>
      <c r="X69" s="14" t="n">
        <f aca="false">CHOOSE(X$6,Допущения!$C$19,Допущения!$D$19,Допущения!$E$19)</f>
        <v>300000</v>
      </c>
      <c r="Y69" s="14" t="n">
        <f aca="false">CHOOSE(Y$6,Допущения!$C$19,Допущения!$D$19,Допущения!$E$19)</f>
        <v>300000</v>
      </c>
      <c r="Z69" s="14" t="n">
        <f aca="false">CHOOSE(Z$6,Допущения!$C$19,Допущения!$D$19,Допущения!$E$19)</f>
        <v>300000</v>
      </c>
      <c r="AA69" s="14" t="n">
        <f aca="false">CHOOSE(AA$6,Допущения!$C$19,Допущения!$D$19,Допущения!$E$19)</f>
        <v>500000</v>
      </c>
      <c r="AB69" s="14" t="n">
        <f aca="false">CHOOSE(AB$6,Допущения!$C$19,Допущения!$D$19,Допущения!$E$19)</f>
        <v>500000</v>
      </c>
      <c r="AC69" s="14" t="n">
        <f aca="false">CHOOSE(AC$6,Допущения!$C$19,Допущения!$D$19,Допущения!$E$19)</f>
        <v>500000</v>
      </c>
      <c r="AD69" s="14" t="n">
        <f aca="false">CHOOSE(AD$6,Допущения!$C$19,Допущения!$D$19,Допущения!$E$19)</f>
        <v>500000</v>
      </c>
      <c r="AE69" s="14" t="n">
        <f aca="false">CHOOSE(AE$6,Допущения!$C$19,Допущения!$D$19,Допущения!$E$19)</f>
        <v>500000</v>
      </c>
      <c r="AF69" s="14" t="n">
        <f aca="false">CHOOSE(AF$6,Допущения!$C$19,Допущения!$D$19,Допущения!$E$19)</f>
        <v>500000</v>
      </c>
      <c r="AG69" s="14" t="n">
        <f aca="false">CHOOSE(AG$6,Допущения!$C$19,Допущения!$D$19,Допущения!$E$19)</f>
        <v>500000</v>
      </c>
      <c r="AH69" s="14" t="n">
        <f aca="false">CHOOSE(AH$6,Допущения!$C$19,Допущения!$D$19,Допущения!$E$19)</f>
        <v>500000</v>
      </c>
      <c r="AI69" s="14" t="n">
        <f aca="false">CHOOSE(AI$6,Допущения!$C$19,Допущения!$D$19,Допущения!$E$19)</f>
        <v>500000</v>
      </c>
      <c r="AJ69" s="14" t="n">
        <f aca="false">CHOOSE(AJ$6,Допущения!$C$19,Допущения!$D$19,Допущения!$E$19)</f>
        <v>500000</v>
      </c>
      <c r="AK69" s="14" t="n">
        <f aca="false">CHOOSE(AK$6,Допущения!$C$19,Допущения!$D$19,Допущения!$E$19)</f>
        <v>500000</v>
      </c>
      <c r="AL69" s="14" t="n">
        <f aca="false">CHOOSE(AL$6,Допущения!$C$19,Допущения!$D$19,Допущения!$E$19)</f>
        <v>500000</v>
      </c>
    </row>
    <row r="70" customFormat="false" ht="15" hidden="false" customHeight="false" outlineLevel="0" collapsed="false">
      <c r="A70" s="6" t="s">
        <v>190</v>
      </c>
      <c r="B70" s="3" t="s">
        <v>85</v>
      </c>
      <c r="C70" s="14" t="n">
        <f aca="false">SUM(C66:C69)</f>
        <v>1350000</v>
      </c>
      <c r="D70" s="14" t="n">
        <f aca="false">SUM(D66:D69)</f>
        <v>550000</v>
      </c>
      <c r="E70" s="14" t="n">
        <f aca="false">SUM(E66:E69)</f>
        <v>550000</v>
      </c>
      <c r="F70" s="14" t="n">
        <f aca="false">SUM(F66:F69)</f>
        <v>550000</v>
      </c>
      <c r="G70" s="14" t="n">
        <f aca="false">SUM(G66:G69)</f>
        <v>550000</v>
      </c>
      <c r="H70" s="14" t="n">
        <f aca="false">SUM(H66:H69)</f>
        <v>550000</v>
      </c>
      <c r="I70" s="14" t="n">
        <f aca="false">SUM(I66:I69)</f>
        <v>550000</v>
      </c>
      <c r="J70" s="14" t="n">
        <f aca="false">SUM(J66:J69)</f>
        <v>550000</v>
      </c>
      <c r="K70" s="14" t="n">
        <f aca="false">SUM(K66:K69)</f>
        <v>550000</v>
      </c>
      <c r="L70" s="14" t="n">
        <f aca="false">SUM(L66:L69)</f>
        <v>550000</v>
      </c>
      <c r="M70" s="14" t="n">
        <f aca="false">SUM(M66:M69)</f>
        <v>550000</v>
      </c>
      <c r="N70" s="14" t="n">
        <f aca="false">SUM(N66:N69)</f>
        <v>550000</v>
      </c>
      <c r="O70" s="14" t="n">
        <f aca="false">SUM(O66:O69)</f>
        <v>1210000</v>
      </c>
      <c r="P70" s="14" t="n">
        <f aca="false">SUM(P66:P69)</f>
        <v>1210000</v>
      </c>
      <c r="Q70" s="14" t="n">
        <f aca="false">SUM(Q66:Q69)</f>
        <v>1210000</v>
      </c>
      <c r="R70" s="14" t="n">
        <f aca="false">SUM(R66:R69)</f>
        <v>1210000</v>
      </c>
      <c r="S70" s="14" t="n">
        <f aca="false">SUM(S66:S69)</f>
        <v>1210000</v>
      </c>
      <c r="T70" s="14" t="n">
        <f aca="false">SUM(T66:T69)</f>
        <v>1210000</v>
      </c>
      <c r="U70" s="14" t="n">
        <f aca="false">SUM(U66:U69)</f>
        <v>1210000</v>
      </c>
      <c r="V70" s="14" t="n">
        <f aca="false">SUM(V66:V69)</f>
        <v>1210000</v>
      </c>
      <c r="W70" s="14" t="n">
        <f aca="false">SUM(W66:W69)</f>
        <v>1210000</v>
      </c>
      <c r="X70" s="14" t="n">
        <f aca="false">SUM(X66:X69)</f>
        <v>1210000</v>
      </c>
      <c r="Y70" s="14" t="n">
        <f aca="false">SUM(Y66:Y69)</f>
        <v>1210000</v>
      </c>
      <c r="Z70" s="14" t="n">
        <f aca="false">SUM(Z66:Z69)</f>
        <v>1210000</v>
      </c>
      <c r="AA70" s="14" t="n">
        <f aca="false">SUM(AA66:AA69)</f>
        <v>1790000</v>
      </c>
      <c r="AB70" s="14" t="n">
        <f aca="false">SUM(AB66:AB69)</f>
        <v>1790000</v>
      </c>
      <c r="AC70" s="14" t="n">
        <f aca="false">SUM(AC66:AC69)</f>
        <v>1790000</v>
      </c>
      <c r="AD70" s="14" t="n">
        <f aca="false">SUM(AD66:AD69)</f>
        <v>1790000</v>
      </c>
      <c r="AE70" s="14" t="n">
        <f aca="false">SUM(AE66:AE69)</f>
        <v>1790000</v>
      </c>
      <c r="AF70" s="14" t="n">
        <f aca="false">SUM(AF66:AF69)</f>
        <v>1790000</v>
      </c>
      <c r="AG70" s="14" t="n">
        <f aca="false">SUM(AG66:AG69)</f>
        <v>1790000</v>
      </c>
      <c r="AH70" s="14" t="n">
        <f aca="false">SUM(AH66:AH69)</f>
        <v>1790000</v>
      </c>
      <c r="AI70" s="14" t="n">
        <f aca="false">SUM(AI66:AI69)</f>
        <v>1790000</v>
      </c>
      <c r="AJ70" s="14" t="n">
        <f aca="false">SUM(AJ66:AJ69)</f>
        <v>1790000</v>
      </c>
      <c r="AK70" s="14" t="n">
        <f aca="false">SUM(AK66:AK69)</f>
        <v>1790000</v>
      </c>
      <c r="AL70" s="14" t="n">
        <f aca="false">SUM(AL66:AL69)</f>
        <v>1790000</v>
      </c>
    </row>
    <row r="71" customFormat="false" ht="15" hidden="false" customHeight="false" outlineLevel="0" collapsed="false">
      <c r="A71" s="33" t="s">
        <v>191</v>
      </c>
      <c r="B71" s="34" t="s">
        <v>85</v>
      </c>
      <c r="C71" s="35" t="n">
        <f aca="false">C55+C64-C70-C65</f>
        <v>-1311025.9968</v>
      </c>
      <c r="D71" s="35" t="n">
        <f aca="false">D55+D64-D70-D65</f>
        <v>-492854.367808</v>
      </c>
      <c r="E71" s="35" t="n">
        <f aca="false">E55+E64-E70-E65</f>
        <v>-466195.41885664</v>
      </c>
      <c r="F71" s="35" t="n">
        <f aca="false">F55+F64-F70-F65</f>
        <v>-367893.537680152</v>
      </c>
      <c r="G71" s="35" t="n">
        <f aca="false">G55+G64-G70-G65</f>
        <v>-305107.906933</v>
      </c>
      <c r="H71" s="35" t="n">
        <f aca="false">H55+H64-H70-H65</f>
        <v>-236405.960059289</v>
      </c>
      <c r="I71" s="35" t="n">
        <f aca="false">I55+I64-I70-I65</f>
        <v>-162228.077644672</v>
      </c>
      <c r="J71" s="35" t="n">
        <f aca="false">J55+J64-J70-J65</f>
        <v>-283135.420892715</v>
      </c>
      <c r="K71" s="35" t="n">
        <f aca="false">K55+K64-K70-K65</f>
        <v>-219441.614221611</v>
      </c>
      <c r="L71" s="35" t="n">
        <f aca="false">L55+L64-L70-L65</f>
        <v>-150523.319979598</v>
      </c>
      <c r="M71" s="35" t="n">
        <f aca="false">M55+M64-M70-M65</f>
        <v>-119782.266580516</v>
      </c>
      <c r="N71" s="35" t="n">
        <f aca="false">N55+N64-N70-N65</f>
        <v>-90424.5605843931</v>
      </c>
      <c r="O71" s="35" t="n">
        <f aca="false">O55+O64-O70-O65</f>
        <v>-684726.02561981</v>
      </c>
      <c r="P71" s="35" t="n">
        <f aca="false">P55+P64-P70-P65</f>
        <v>-754069.038933522</v>
      </c>
      <c r="Q71" s="35" t="n">
        <f aca="false">Q55+Q64-Q70-Q65</f>
        <v>-720954.353181514</v>
      </c>
      <c r="R71" s="35" t="n">
        <f aca="false">R55+R64-R70-R65</f>
        <v>-415017.491591687</v>
      </c>
      <c r="S71" s="35" t="n">
        <f aca="false">S55+S64-S70-S65</f>
        <v>-291070.135083734</v>
      </c>
      <c r="T71" s="35" t="n">
        <f aca="false">T55+T64-T70-T65</f>
        <v>-159773.766066023</v>
      </c>
      <c r="U71" s="35" t="n">
        <f aca="false">U55+U64-U70-U65</f>
        <v>-21675.4077813621</v>
      </c>
      <c r="V71" s="35" t="n">
        <f aca="false">V55+V64-V70-V65</f>
        <v>-401649.418932021</v>
      </c>
      <c r="W71" s="35" t="n">
        <f aca="false">W55+W64-W70-W65</f>
        <v>-276573.962423423</v>
      </c>
      <c r="X71" s="35" t="n">
        <f aca="false">X55+X64-X70-X65</f>
        <v>-145008.855312263</v>
      </c>
      <c r="Y71" s="35" t="n">
        <f aca="false">Y55+Y64-Y70-Y65</f>
        <v>-106823.541823211</v>
      </c>
      <c r="Z71" s="35" t="n">
        <f aca="false">Z55+Z64-Z70-Z65</f>
        <v>-70356.5674411653</v>
      </c>
      <c r="AA71" s="35" t="n">
        <f aca="false">AA55+AA64-AA70-AA65</f>
        <v>-693399.816725051</v>
      </c>
      <c r="AB71" s="35" t="n">
        <f aca="false">AB55+AB64-AB70-AB65</f>
        <v>-874383.667295984</v>
      </c>
      <c r="AC71" s="35" t="n">
        <f aca="false">AC55+AC64-AC70-AC65</f>
        <v>-837553.746667665</v>
      </c>
      <c r="AD71" s="35" t="n">
        <f aca="false">AD55+AD64-AD70-AD65</f>
        <v>-289570.843001589</v>
      </c>
      <c r="AE71" s="35" t="n">
        <f aca="false">AE55+AE64-AE70-AE65</f>
        <v>-99786.9453065027</v>
      </c>
      <c r="AF71" s="35" t="n">
        <f aca="false">AF55+AF64-AF70-AF65</f>
        <v>98170.472423104</v>
      </c>
      <c r="AG71" s="35" t="n">
        <f aca="false">AG55+AG64-AG70-AG65</f>
        <v>303693.014783292</v>
      </c>
      <c r="AH71" s="35" t="n">
        <f aca="false">AH55+AH64-AH70-AH65</f>
        <v>-378564.005383768</v>
      </c>
      <c r="AI71" s="35" t="n">
        <f aca="false">AI55+AI64-AI70-AI65</f>
        <v>-187525.442800852</v>
      </c>
      <c r="AJ71" s="35" t="n">
        <f aca="false">AJ55+AJ64-AJ70-AJ65</f>
        <v>10730.8635465031</v>
      </c>
      <c r="AK71" s="35" t="n">
        <f aca="false">AK55+AK64-AK70-AK65</f>
        <v>53200.3006869104</v>
      </c>
      <c r="AL71" s="35" t="n">
        <f aca="false">AL55+AL64-AL70-AL65</f>
        <v>93758.6131559991</v>
      </c>
    </row>
    <row r="72" customFormat="false" ht="15" hidden="false" customHeight="false" outlineLevel="0" collapsed="false">
      <c r="A72" s="33" t="s">
        <v>192</v>
      </c>
      <c r="B72" s="34" t="s">
        <v>85</v>
      </c>
      <c r="C72" s="35" t="n">
        <f aca="false">C71</f>
        <v>-1311025.9968</v>
      </c>
      <c r="D72" s="35" t="n">
        <f aca="false">C72+D71</f>
        <v>-1803880.364608</v>
      </c>
      <c r="E72" s="35" t="n">
        <f aca="false">D72+E71</f>
        <v>-2270075.78346464</v>
      </c>
      <c r="F72" s="35" t="n">
        <f aca="false">E72+F71</f>
        <v>-2637969.32114479</v>
      </c>
      <c r="G72" s="35" t="n">
        <f aca="false">F72+G71</f>
        <v>-2943077.22807779</v>
      </c>
      <c r="H72" s="35" t="n">
        <f aca="false">G72+H71</f>
        <v>-3179483.18813708</v>
      </c>
      <c r="I72" s="35" t="n">
        <f aca="false">H72+I71</f>
        <v>-3341711.26578175</v>
      </c>
      <c r="J72" s="35" t="n">
        <f aca="false">I72+J71</f>
        <v>-3624846.68667447</v>
      </c>
      <c r="K72" s="35" t="n">
        <f aca="false">J72+K71</f>
        <v>-3844288.30089608</v>
      </c>
      <c r="L72" s="35" t="n">
        <f aca="false">K72+L71</f>
        <v>-3994811.62087568</v>
      </c>
      <c r="M72" s="35" t="n">
        <f aca="false">L72+M71</f>
        <v>-4114593.88745619</v>
      </c>
      <c r="N72" s="35" t="n">
        <f aca="false">M72+N71</f>
        <v>-4205018.44804059</v>
      </c>
      <c r="O72" s="35" t="n">
        <f aca="false">N72+O71</f>
        <v>-4889744.4736604</v>
      </c>
      <c r="P72" s="35" t="n">
        <f aca="false">O72+P71</f>
        <v>-5643813.51259392</v>
      </c>
      <c r="Q72" s="35" t="n">
        <f aca="false">P72+Q71</f>
        <v>-6364767.86577543</v>
      </c>
      <c r="R72" s="35" t="n">
        <f aca="false">Q72+R71</f>
        <v>-6779785.35736712</v>
      </c>
      <c r="S72" s="35" t="n">
        <f aca="false">R72+S71</f>
        <v>-7070855.49245085</v>
      </c>
      <c r="T72" s="35" t="n">
        <f aca="false">S72+T71</f>
        <v>-7230629.25851688</v>
      </c>
      <c r="U72" s="35" t="n">
        <f aca="false">T72+U71</f>
        <v>-7252304.66629824</v>
      </c>
      <c r="V72" s="35" t="n">
        <f aca="false">U72+V71</f>
        <v>-7653954.08523026</v>
      </c>
      <c r="W72" s="35" t="n">
        <f aca="false">V72+W71</f>
        <v>-7930528.04765368</v>
      </c>
      <c r="X72" s="35" t="n">
        <f aca="false">W72+X71</f>
        <v>-8075536.90296595</v>
      </c>
      <c r="Y72" s="35" t="n">
        <f aca="false">X72+Y71</f>
        <v>-8182360.44478916</v>
      </c>
      <c r="Z72" s="35" t="n">
        <f aca="false">Y72+Z71</f>
        <v>-8252717.01223032</v>
      </c>
      <c r="AA72" s="35" t="n">
        <f aca="false">Z72+AA71</f>
        <v>-8946116.82895537</v>
      </c>
      <c r="AB72" s="35" t="n">
        <f aca="false">AA72+AB71</f>
        <v>-9820500.49625136</v>
      </c>
      <c r="AC72" s="35" t="n">
        <f aca="false">AB72+AC71</f>
        <v>-10658054.242919</v>
      </c>
      <c r="AD72" s="35" t="n">
        <f aca="false">AC72+AD71</f>
        <v>-10947625.0859206</v>
      </c>
      <c r="AE72" s="35" t="n">
        <f aca="false">AD72+AE71</f>
        <v>-11047412.0312271</v>
      </c>
      <c r="AF72" s="35" t="n">
        <f aca="false">AE72+AF71</f>
        <v>-10949241.558804</v>
      </c>
      <c r="AG72" s="35" t="n">
        <f aca="false">AF72+AG71</f>
        <v>-10645548.5440207</v>
      </c>
      <c r="AH72" s="35" t="n">
        <f aca="false">AG72+AH71</f>
        <v>-11024112.5494045</v>
      </c>
      <c r="AI72" s="35" t="n">
        <f aca="false">AH72+AI71</f>
        <v>-11211637.9922053</v>
      </c>
      <c r="AJ72" s="35" t="n">
        <f aca="false">AI72+AJ71</f>
        <v>-11200907.1286588</v>
      </c>
      <c r="AK72" s="35" t="n">
        <f aca="false">AJ72+AK71</f>
        <v>-11147706.8279719</v>
      </c>
      <c r="AL72" s="35" t="n">
        <f aca="false">AK72+AL71</f>
        <v>-11053948.2148159</v>
      </c>
    </row>
    <row r="73" customFormat="false" ht="15" hidden="false" customHeight="false" outlineLevel="0" collapsed="false">
      <c r="A73" s="3" t="s">
        <v>193</v>
      </c>
      <c r="B73" s="3"/>
      <c r="C73" s="36" t="str">
        <f aca="false">IF(C71&gt;0,C$4,"")</f>
        <v/>
      </c>
      <c r="D73" s="36" t="str">
        <f aca="false">IF(D71&gt;0,D$4,"")</f>
        <v/>
      </c>
      <c r="E73" s="36" t="str">
        <f aca="false">IF(E71&gt;0,E$4,"")</f>
        <v/>
      </c>
      <c r="F73" s="36" t="str">
        <f aca="false">IF(F71&gt;0,F$4,"")</f>
        <v/>
      </c>
      <c r="G73" s="36" t="str">
        <f aca="false">IF(G71&gt;0,G$4,"")</f>
        <v/>
      </c>
      <c r="H73" s="36" t="str">
        <f aca="false">IF(H71&gt;0,H$4,"")</f>
        <v/>
      </c>
      <c r="I73" s="36" t="str">
        <f aca="false">IF(I71&gt;0,I$4,"")</f>
        <v/>
      </c>
      <c r="J73" s="36" t="str">
        <f aca="false">IF(J71&gt;0,J$4,"")</f>
        <v/>
      </c>
      <c r="K73" s="36" t="str">
        <f aca="false">IF(K71&gt;0,K$4,"")</f>
        <v/>
      </c>
      <c r="L73" s="36" t="str">
        <f aca="false">IF(L71&gt;0,L$4,"")</f>
        <v/>
      </c>
      <c r="M73" s="36" t="str">
        <f aca="false">IF(M71&gt;0,M$4,"")</f>
        <v/>
      </c>
      <c r="N73" s="36" t="str">
        <f aca="false">IF(N71&gt;0,N$4,"")</f>
        <v/>
      </c>
      <c r="O73" s="36" t="str">
        <f aca="false">IF(O71&gt;0,O$4,"")</f>
        <v/>
      </c>
      <c r="P73" s="36" t="str">
        <f aca="false">IF(P71&gt;0,P$4,"")</f>
        <v/>
      </c>
      <c r="Q73" s="36" t="str">
        <f aca="false">IF(Q71&gt;0,Q$4,"")</f>
        <v/>
      </c>
      <c r="R73" s="36" t="str">
        <f aca="false">IF(R71&gt;0,R$4,"")</f>
        <v/>
      </c>
      <c r="S73" s="36" t="str">
        <f aca="false">IF(S71&gt;0,S$4,"")</f>
        <v/>
      </c>
      <c r="T73" s="36" t="str">
        <f aca="false">IF(T71&gt;0,T$4,"")</f>
        <v/>
      </c>
      <c r="U73" s="36" t="str">
        <f aca="false">IF(U71&gt;0,U$4,"")</f>
        <v/>
      </c>
      <c r="V73" s="36" t="str">
        <f aca="false">IF(V71&gt;0,V$4,"")</f>
        <v/>
      </c>
      <c r="W73" s="36" t="str">
        <f aca="false">IF(W71&gt;0,W$4,"")</f>
        <v/>
      </c>
      <c r="X73" s="36" t="str">
        <f aca="false">IF(X71&gt;0,X$4,"")</f>
        <v/>
      </c>
      <c r="Y73" s="36" t="str">
        <f aca="false">IF(Y71&gt;0,Y$4,"")</f>
        <v/>
      </c>
      <c r="Z73" s="36" t="str">
        <f aca="false">IF(Z71&gt;0,Z$4,"")</f>
        <v/>
      </c>
      <c r="AA73" s="36" t="str">
        <f aca="false">IF(AA71&gt;0,AA$4,"")</f>
        <v/>
      </c>
      <c r="AB73" s="36" t="str">
        <f aca="false">IF(AB71&gt;0,AB$4,"")</f>
        <v/>
      </c>
      <c r="AC73" s="36" t="str">
        <f aca="false">IF(AC71&gt;0,AC$4,"")</f>
        <v/>
      </c>
      <c r="AD73" s="36" t="str">
        <f aca="false">IF(AD71&gt;0,AD$4,"")</f>
        <v/>
      </c>
      <c r="AE73" s="36" t="str">
        <f aca="false">IF(AE71&gt;0,AE$4,"")</f>
        <v/>
      </c>
      <c r="AF73" s="36" t="n">
        <f aca="false">IF(AF71&gt;0,AF$4,"")</f>
        <v>30</v>
      </c>
      <c r="AG73" s="36" t="n">
        <f aca="false">IF(AG71&gt;0,AG$4,"")</f>
        <v>31</v>
      </c>
      <c r="AH73" s="36" t="str">
        <f aca="false">IF(AH71&gt;0,AH$4,"")</f>
        <v/>
      </c>
      <c r="AI73" s="36" t="str">
        <f aca="false">IF(AI71&gt;0,AI$4,"")</f>
        <v/>
      </c>
      <c r="AJ73" s="36" t="n">
        <f aca="false">IF(AJ71&gt;0,AJ$4,"")</f>
        <v>34</v>
      </c>
      <c r="AK73" s="36" t="n">
        <f aca="false">IF(AK71&gt;0,AK$4,"")</f>
        <v>35</v>
      </c>
      <c r="AL73" s="36" t="n">
        <f aca="false">IF(AL71&gt;0,AL$4,"")</f>
        <v>36</v>
      </c>
    </row>
    <row r="74" customFormat="false" ht="15" hidden="false" customHeight="false" outlineLevel="0" collapsed="false">
      <c r="A74" s="3" t="s">
        <v>194</v>
      </c>
      <c r="B74" s="3"/>
      <c r="C74" s="36" t="str">
        <f aca="false">IF(C72&gt;=0,C$4,"")</f>
        <v/>
      </c>
      <c r="D74" s="36" t="str">
        <f aca="false">IF(D72&gt;=0,D$4,"")</f>
        <v/>
      </c>
      <c r="E74" s="36" t="str">
        <f aca="false">IF(E72&gt;=0,E$4,"")</f>
        <v/>
      </c>
      <c r="F74" s="36" t="str">
        <f aca="false">IF(F72&gt;=0,F$4,"")</f>
        <v/>
      </c>
      <c r="G74" s="36" t="str">
        <f aca="false">IF(G72&gt;=0,G$4,"")</f>
        <v/>
      </c>
      <c r="H74" s="36" t="str">
        <f aca="false">IF(H72&gt;=0,H$4,"")</f>
        <v/>
      </c>
      <c r="I74" s="36" t="str">
        <f aca="false">IF(I72&gt;=0,I$4,"")</f>
        <v/>
      </c>
      <c r="J74" s="36" t="str">
        <f aca="false">IF(J72&gt;=0,J$4,"")</f>
        <v/>
      </c>
      <c r="K74" s="36" t="str">
        <f aca="false">IF(K72&gt;=0,K$4,"")</f>
        <v/>
      </c>
      <c r="L74" s="36" t="str">
        <f aca="false">IF(L72&gt;=0,L$4,"")</f>
        <v/>
      </c>
      <c r="M74" s="36" t="str">
        <f aca="false">IF(M72&gt;=0,M$4,"")</f>
        <v/>
      </c>
      <c r="N74" s="36" t="str">
        <f aca="false">IF(N72&gt;=0,N$4,"")</f>
        <v/>
      </c>
      <c r="O74" s="36" t="str">
        <f aca="false">IF(O72&gt;=0,O$4,"")</f>
        <v/>
      </c>
      <c r="P74" s="36" t="str">
        <f aca="false">IF(P72&gt;=0,P$4,"")</f>
        <v/>
      </c>
      <c r="Q74" s="36" t="str">
        <f aca="false">IF(Q72&gt;=0,Q$4,"")</f>
        <v/>
      </c>
      <c r="R74" s="36" t="str">
        <f aca="false">IF(R72&gt;=0,R$4,"")</f>
        <v/>
      </c>
      <c r="S74" s="36" t="str">
        <f aca="false">IF(S72&gt;=0,S$4,"")</f>
        <v/>
      </c>
      <c r="T74" s="36" t="str">
        <f aca="false">IF(T72&gt;=0,T$4,"")</f>
        <v/>
      </c>
      <c r="U74" s="36" t="str">
        <f aca="false">IF(U72&gt;=0,U$4,"")</f>
        <v/>
      </c>
      <c r="V74" s="36" t="str">
        <f aca="false">IF(V72&gt;=0,V$4,"")</f>
        <v/>
      </c>
      <c r="W74" s="36" t="str">
        <f aca="false">IF(W72&gt;=0,W$4,"")</f>
        <v/>
      </c>
      <c r="X74" s="36" t="str">
        <f aca="false">IF(X72&gt;=0,X$4,"")</f>
        <v/>
      </c>
      <c r="Y74" s="36" t="str">
        <f aca="false">IF(Y72&gt;=0,Y$4,"")</f>
        <v/>
      </c>
      <c r="Z74" s="36" t="str">
        <f aca="false">IF(Z72&gt;=0,Z$4,"")</f>
        <v/>
      </c>
      <c r="AA74" s="36" t="str">
        <f aca="false">IF(AA72&gt;=0,AA$4,"")</f>
        <v/>
      </c>
      <c r="AB74" s="36" t="str">
        <f aca="false">IF(AB72&gt;=0,AB$4,"")</f>
        <v/>
      </c>
      <c r="AC74" s="36" t="str">
        <f aca="false">IF(AC72&gt;=0,AC$4,"")</f>
        <v/>
      </c>
      <c r="AD74" s="36" t="str">
        <f aca="false">IF(AD72&gt;=0,AD$4,"")</f>
        <v/>
      </c>
      <c r="AE74" s="36" t="str">
        <f aca="false">IF(AE72&gt;=0,AE$4,"")</f>
        <v/>
      </c>
      <c r="AF74" s="36" t="str">
        <f aca="false">IF(AF72&gt;=0,AF$4,"")</f>
        <v/>
      </c>
      <c r="AG74" s="36" t="str">
        <f aca="false">IF(AG72&gt;=0,AG$4,"")</f>
        <v/>
      </c>
      <c r="AH74" s="36" t="str">
        <f aca="false">IF(AH72&gt;=0,AH$4,"")</f>
        <v/>
      </c>
      <c r="AI74" s="36" t="str">
        <f aca="false">IF(AI72&gt;=0,AI$4,"")</f>
        <v/>
      </c>
      <c r="AJ74" s="36" t="str">
        <f aca="false">IF(AJ72&gt;=0,AJ$4,"")</f>
        <v/>
      </c>
      <c r="AK74" s="36" t="str">
        <f aca="false">IF(AK72&gt;=0,AK$4,"")</f>
        <v/>
      </c>
      <c r="AL74" s="36" t="str">
        <f aca="false">IF(AL72&gt;=0,AL$4,"")</f>
        <v/>
      </c>
    </row>
    <row r="75" customFormat="false" ht="15" hidden="false" customHeight="fals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</row>
    <row r="77" customFormat="false" ht="15" hidden="false" customHeight="false" outlineLevel="0" collapsed="false">
      <c r="A77" s="4" t="s">
        <v>196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</row>
    <row r="78" customFormat="false" ht="15" hidden="false" customHeight="false" outlineLevel="0" collapsed="false">
      <c r="A78" s="6" t="s">
        <v>164</v>
      </c>
      <c r="B78" s="3" t="s">
        <v>82</v>
      </c>
      <c r="C78" s="17" t="n">
        <f aca="false">CHOOSE(C$6,Допущения!$E$24,Допущения!$E$25,Допущения!$E$26)</f>
        <v>5</v>
      </c>
      <c r="D78" s="17" t="n">
        <f aca="false">CHOOSE(D$6,Допущения!$E$24,Допущения!$E$25,Допущения!$E$26)</f>
        <v>5</v>
      </c>
      <c r="E78" s="17" t="n">
        <f aca="false">CHOOSE(E$6,Допущения!$E$24,Допущения!$E$25,Допущения!$E$26)</f>
        <v>5</v>
      </c>
      <c r="F78" s="17" t="n">
        <f aca="false">CHOOSE(F$6,Допущения!$E$24,Допущения!$E$25,Допущения!$E$26)</f>
        <v>5</v>
      </c>
      <c r="G78" s="17" t="n">
        <f aca="false">CHOOSE(G$6,Допущения!$E$24,Допущения!$E$25,Допущения!$E$26)</f>
        <v>5</v>
      </c>
      <c r="H78" s="17" t="n">
        <f aca="false">CHOOSE(H$6,Допущения!$E$24,Допущения!$E$25,Допущения!$E$26)</f>
        <v>5</v>
      </c>
      <c r="I78" s="17" t="n">
        <f aca="false">CHOOSE(I$6,Допущения!$E$24,Допущения!$E$25,Допущения!$E$26)</f>
        <v>5</v>
      </c>
      <c r="J78" s="17" t="n">
        <f aca="false">CHOOSE(J$6,Допущения!$E$24,Допущения!$E$25,Допущения!$E$26)</f>
        <v>5</v>
      </c>
      <c r="K78" s="17" t="n">
        <f aca="false">CHOOSE(K$6,Допущения!$E$24,Допущения!$E$25,Допущения!$E$26)</f>
        <v>5</v>
      </c>
      <c r="L78" s="17" t="n">
        <f aca="false">CHOOSE(L$6,Допущения!$E$24,Допущения!$E$25,Допущения!$E$26)</f>
        <v>5</v>
      </c>
      <c r="M78" s="17" t="n">
        <f aca="false">CHOOSE(M$6,Допущения!$E$24,Допущения!$E$25,Допущения!$E$26)</f>
        <v>5</v>
      </c>
      <c r="N78" s="17" t="n">
        <f aca="false">CHOOSE(N$6,Допущения!$E$24,Допущения!$E$25,Допущения!$E$26)</f>
        <v>5</v>
      </c>
      <c r="O78" s="17" t="n">
        <f aca="false">CHOOSE(O$6,Допущения!$E$24,Допущения!$E$25,Допущения!$E$26)</f>
        <v>8</v>
      </c>
      <c r="P78" s="17" t="n">
        <f aca="false">CHOOSE(P$6,Допущения!$E$24,Допущения!$E$25,Допущения!$E$26)</f>
        <v>8</v>
      </c>
      <c r="Q78" s="17" t="n">
        <f aca="false">CHOOSE(Q$6,Допущения!$E$24,Допущения!$E$25,Допущения!$E$26)</f>
        <v>8</v>
      </c>
      <c r="R78" s="17" t="n">
        <f aca="false">CHOOSE(R$6,Допущения!$E$24,Допущения!$E$25,Допущения!$E$26)</f>
        <v>8</v>
      </c>
      <c r="S78" s="17" t="n">
        <f aca="false">CHOOSE(S$6,Допущения!$E$24,Допущения!$E$25,Допущения!$E$26)</f>
        <v>8</v>
      </c>
      <c r="T78" s="17" t="n">
        <f aca="false">CHOOSE(T$6,Допущения!$E$24,Допущения!$E$25,Допущения!$E$26)</f>
        <v>8</v>
      </c>
      <c r="U78" s="17" t="n">
        <f aca="false">CHOOSE(U$6,Допущения!$E$24,Допущения!$E$25,Допущения!$E$26)</f>
        <v>8</v>
      </c>
      <c r="V78" s="17" t="n">
        <f aca="false">CHOOSE(V$6,Допущения!$E$24,Допущения!$E$25,Допущения!$E$26)</f>
        <v>8</v>
      </c>
      <c r="W78" s="17" t="n">
        <f aca="false">CHOOSE(W$6,Допущения!$E$24,Допущения!$E$25,Допущения!$E$26)</f>
        <v>8</v>
      </c>
      <c r="X78" s="17" t="n">
        <f aca="false">CHOOSE(X$6,Допущения!$E$24,Допущения!$E$25,Допущения!$E$26)</f>
        <v>8</v>
      </c>
      <c r="Y78" s="17" t="n">
        <f aca="false">CHOOSE(Y$6,Допущения!$E$24,Допущения!$E$25,Допущения!$E$26)</f>
        <v>8</v>
      </c>
      <c r="Z78" s="17" t="n">
        <f aca="false">CHOOSE(Z$6,Допущения!$E$24,Допущения!$E$25,Допущения!$E$26)</f>
        <v>8</v>
      </c>
      <c r="AA78" s="17" t="n">
        <f aca="false">CHOOSE(AA$6,Допущения!$E$24,Допущения!$E$25,Допущения!$E$26)</f>
        <v>11</v>
      </c>
      <c r="AB78" s="17" t="n">
        <f aca="false">CHOOSE(AB$6,Допущения!$E$24,Допущения!$E$25,Допущения!$E$26)</f>
        <v>11</v>
      </c>
      <c r="AC78" s="17" t="n">
        <f aca="false">CHOOSE(AC$6,Допущения!$E$24,Допущения!$E$25,Допущения!$E$26)</f>
        <v>11</v>
      </c>
      <c r="AD78" s="17" t="n">
        <f aca="false">CHOOSE(AD$6,Допущения!$E$24,Допущения!$E$25,Допущения!$E$26)</f>
        <v>11</v>
      </c>
      <c r="AE78" s="17" t="n">
        <f aca="false">CHOOSE(AE$6,Допущения!$E$24,Допущения!$E$25,Допущения!$E$26)</f>
        <v>11</v>
      </c>
      <c r="AF78" s="17" t="n">
        <f aca="false">CHOOSE(AF$6,Допущения!$E$24,Допущения!$E$25,Допущения!$E$26)</f>
        <v>11</v>
      </c>
      <c r="AG78" s="17" t="n">
        <f aca="false">CHOOSE(AG$6,Допущения!$E$24,Допущения!$E$25,Допущения!$E$26)</f>
        <v>11</v>
      </c>
      <c r="AH78" s="17" t="n">
        <f aca="false">CHOOSE(AH$6,Допущения!$E$24,Допущения!$E$25,Допущения!$E$26)</f>
        <v>11</v>
      </c>
      <c r="AI78" s="17" t="n">
        <f aca="false">CHOOSE(AI$6,Допущения!$E$24,Допущения!$E$25,Допущения!$E$26)</f>
        <v>11</v>
      </c>
      <c r="AJ78" s="17" t="n">
        <f aca="false">CHOOSE(AJ$6,Допущения!$E$24,Допущения!$E$25,Допущения!$E$26)</f>
        <v>11</v>
      </c>
      <c r="AK78" s="17" t="n">
        <f aca="false">CHOOSE(AK$6,Допущения!$E$24,Допущения!$E$25,Допущения!$E$26)</f>
        <v>11</v>
      </c>
      <c r="AL78" s="17" t="n">
        <f aca="false">CHOOSE(AL$6,Допущения!$E$24,Допущения!$E$25,Допущения!$E$26)</f>
        <v>11</v>
      </c>
    </row>
    <row r="79" customFormat="false" ht="15" hidden="false" customHeight="false" outlineLevel="0" collapsed="false">
      <c r="A79" s="6" t="s">
        <v>165</v>
      </c>
      <c r="B79" s="3" t="s">
        <v>82</v>
      </c>
      <c r="C79" s="17" t="n">
        <f aca="false">0</f>
        <v>0</v>
      </c>
      <c r="D79" s="17" t="n">
        <f aca="false">C80*Допущения!$E$27</f>
        <v>0.175</v>
      </c>
      <c r="E79" s="17" t="n">
        <f aca="false">D80*Допущения!$E$27</f>
        <v>0.343875</v>
      </c>
      <c r="F79" s="17" t="n">
        <f aca="false">E80*Допущения!$E$27</f>
        <v>0.506839375</v>
      </c>
      <c r="G79" s="17" t="n">
        <f aca="false">F80*Допущения!$E$27</f>
        <v>0.664099996875</v>
      </c>
      <c r="H79" s="17" t="n">
        <f aca="false">G80*Допущения!$E$27</f>
        <v>0.815856496984375</v>
      </c>
      <c r="I79" s="17" t="n">
        <f aca="false">H80*Допущения!$E$27</f>
        <v>0.962301519589922</v>
      </c>
      <c r="J79" s="17" t="n">
        <f aca="false">I80*Допущения!$E$27</f>
        <v>1.10362096640427</v>
      </c>
      <c r="K79" s="17" t="n">
        <f aca="false">J80*Допущения!$E$27</f>
        <v>1.23999423258013</v>
      </c>
      <c r="L79" s="17" t="n">
        <f aca="false">K80*Допущения!$E$27</f>
        <v>1.37159443443982</v>
      </c>
      <c r="M79" s="17" t="n">
        <f aca="false">L80*Допущения!$E$27</f>
        <v>1.49858862923443</v>
      </c>
      <c r="N79" s="17" t="n">
        <f aca="false">M80*Допущения!$E$27</f>
        <v>1.62113802721122</v>
      </c>
      <c r="O79" s="17" t="n">
        <f aca="false">N80*Допущения!$E$27</f>
        <v>1.73939819625883</v>
      </c>
      <c r="P79" s="17" t="n">
        <f aca="false">O80*Допущения!$E$27</f>
        <v>1.95851925938977</v>
      </c>
      <c r="Q79" s="17" t="n">
        <f aca="false">P80*Допущения!$E$27</f>
        <v>2.16997108531113</v>
      </c>
      <c r="R79" s="17" t="n">
        <f aca="false">Q80*Допущения!$E$27</f>
        <v>2.37402209732524</v>
      </c>
      <c r="S79" s="17" t="n">
        <f aca="false">R80*Допущения!$E$27</f>
        <v>2.57093132391886</v>
      </c>
      <c r="T79" s="17" t="n">
        <f aca="false">S80*Допущения!$E$27</f>
        <v>2.7609487275817</v>
      </c>
      <c r="U79" s="17" t="n">
        <f aca="false">T80*Допущения!$E$27</f>
        <v>2.94431552211634</v>
      </c>
      <c r="V79" s="17" t="n">
        <f aca="false">U80*Допущения!$E$27</f>
        <v>3.12126447884226</v>
      </c>
      <c r="W79" s="17" t="n">
        <f aca="false">V80*Допущения!$E$27</f>
        <v>3.29202022208279</v>
      </c>
      <c r="X79" s="17" t="n">
        <f aca="false">W80*Допущения!$E$27</f>
        <v>3.45679951430989</v>
      </c>
      <c r="Y79" s="17" t="n">
        <f aca="false">X80*Допущения!$E$27</f>
        <v>3.61581153130904</v>
      </c>
      <c r="Z79" s="17" t="n">
        <f aca="false">Y80*Допущения!$E$27</f>
        <v>3.76925812771323</v>
      </c>
      <c r="AA79" s="17" t="n">
        <f aca="false">Z80*Допущения!$E$27</f>
        <v>3.91733409324326</v>
      </c>
      <c r="AB79" s="17" t="n">
        <f aca="false">AA80*Допущения!$E$27</f>
        <v>4.16522739997975</v>
      </c>
      <c r="AC79" s="17" t="n">
        <f aca="false">AB80*Допущения!$E$27</f>
        <v>4.40444444098046</v>
      </c>
      <c r="AD79" s="17" t="n">
        <f aca="false">AC80*Допущения!$E$27</f>
        <v>4.63528888554614</v>
      </c>
      <c r="AE79" s="17" t="n">
        <f aca="false">AD80*Допущения!$E$27</f>
        <v>4.85805377455203</v>
      </c>
      <c r="AF79" s="17" t="n">
        <f aca="false">AE80*Допущения!$E$27</f>
        <v>5.07302189244271</v>
      </c>
      <c r="AG79" s="17" t="n">
        <f aca="false">AF80*Допущения!$E$27</f>
        <v>5.28046612620721</v>
      </c>
      <c r="AH79" s="17" t="n">
        <f aca="false">AG80*Допущения!$E$27</f>
        <v>5.48064981178996</v>
      </c>
      <c r="AI79" s="17" t="n">
        <f aca="false">AH80*Допущения!$E$27</f>
        <v>5.67382706837731</v>
      </c>
      <c r="AJ79" s="17" t="n">
        <f aca="false">AI80*Допущения!$E$27</f>
        <v>5.8602431209841</v>
      </c>
      <c r="AK79" s="17" t="n">
        <f aca="false">AJ80*Допущения!$E$27</f>
        <v>6.04013461174966</v>
      </c>
      <c r="AL79" s="17" t="n">
        <f aca="false">AK80*Допущения!$E$27</f>
        <v>6.21372990033842</v>
      </c>
    </row>
    <row r="80" customFormat="false" ht="15" hidden="false" customHeight="false" outlineLevel="0" collapsed="false">
      <c r="A80" s="6" t="s">
        <v>166</v>
      </c>
      <c r="B80" s="3" t="s">
        <v>82</v>
      </c>
      <c r="C80" s="17" t="n">
        <f aca="false">C78</f>
        <v>5</v>
      </c>
      <c r="D80" s="17" t="n">
        <f aca="false">C80+D78-D79</f>
        <v>9.825</v>
      </c>
      <c r="E80" s="17" t="n">
        <f aca="false">D80+E78-E79</f>
        <v>14.481125</v>
      </c>
      <c r="F80" s="17" t="n">
        <f aca="false">E80+F78-F79</f>
        <v>18.974285625</v>
      </c>
      <c r="G80" s="17" t="n">
        <f aca="false">F80+G78-G79</f>
        <v>23.310185628125</v>
      </c>
      <c r="H80" s="17" t="n">
        <f aca="false">G80+H78-H79</f>
        <v>27.4943291311406</v>
      </c>
      <c r="I80" s="17" t="n">
        <f aca="false">H80+I78-I79</f>
        <v>31.5320276115507</v>
      </c>
      <c r="J80" s="17" t="n">
        <f aca="false">I80+J78-J79</f>
        <v>35.4284066451464</v>
      </c>
      <c r="K80" s="17" t="n">
        <f aca="false">J80+K78-K79</f>
        <v>39.1884124125663</v>
      </c>
      <c r="L80" s="17" t="n">
        <f aca="false">K80+L78-L79</f>
        <v>42.8168179781265</v>
      </c>
      <c r="M80" s="17" t="n">
        <f aca="false">L80+M78-M79</f>
        <v>46.3182293488921</v>
      </c>
      <c r="N80" s="17" t="n">
        <f aca="false">M80+N78-N79</f>
        <v>49.6970913216808</v>
      </c>
      <c r="O80" s="17" t="n">
        <f aca="false">N80+O78-O79</f>
        <v>55.957693125422</v>
      </c>
      <c r="P80" s="17" t="n">
        <f aca="false">O80+P78-P79</f>
        <v>61.9991738660322</v>
      </c>
      <c r="Q80" s="17" t="n">
        <f aca="false">P80+Q78-Q79</f>
        <v>67.8292027807211</v>
      </c>
      <c r="R80" s="17" t="n">
        <f aca="false">Q80+R78-R79</f>
        <v>73.4551806833959</v>
      </c>
      <c r="S80" s="17" t="n">
        <f aca="false">R80+S78-S79</f>
        <v>78.884249359477</v>
      </c>
      <c r="T80" s="17" t="n">
        <f aca="false">S80+T78-T79</f>
        <v>84.1233006318953</v>
      </c>
      <c r="U80" s="17" t="n">
        <f aca="false">T80+U78-U79</f>
        <v>89.178985109779</v>
      </c>
      <c r="V80" s="17" t="n">
        <f aca="false">U80+V78-V79</f>
        <v>94.0577206309367</v>
      </c>
      <c r="W80" s="17" t="n">
        <f aca="false">V80+W78-W79</f>
        <v>98.7657004088539</v>
      </c>
      <c r="X80" s="17" t="n">
        <f aca="false">W80+X78-X79</f>
        <v>103.308900894544</v>
      </c>
      <c r="Y80" s="17" t="n">
        <f aca="false">X80+Y78-Y79</f>
        <v>107.693089363235</v>
      </c>
      <c r="Z80" s="17" t="n">
        <f aca="false">Y80+Z78-Z79</f>
        <v>111.923831235522</v>
      </c>
      <c r="AA80" s="17" t="n">
        <f aca="false">Z80+AA78-AA79</f>
        <v>119.006497142279</v>
      </c>
      <c r="AB80" s="17" t="n">
        <f aca="false">AA80+AB78-AB79</f>
        <v>125.841269742299</v>
      </c>
      <c r="AC80" s="17" t="n">
        <f aca="false">AB80+AC78-AC79</f>
        <v>132.436825301318</v>
      </c>
      <c r="AD80" s="17" t="n">
        <f aca="false">AC80+AD78-AD79</f>
        <v>138.801536415772</v>
      </c>
      <c r="AE80" s="17" t="n">
        <f aca="false">AD80+AE78-AE79</f>
        <v>144.94348264122</v>
      </c>
      <c r="AF80" s="17" t="n">
        <f aca="false">AE80+AF78-AF79</f>
        <v>150.870460748777</v>
      </c>
      <c r="AG80" s="17" t="n">
        <f aca="false">AF80+AG78-AG79</f>
        <v>156.58999462257</v>
      </c>
      <c r="AH80" s="17" t="n">
        <f aca="false">AG80+AH78-AH79</f>
        <v>162.10934481078</v>
      </c>
      <c r="AI80" s="17" t="n">
        <f aca="false">AH80+AI78-AI79</f>
        <v>167.435517742403</v>
      </c>
      <c r="AJ80" s="17" t="n">
        <f aca="false">AI80+AJ78-AJ79</f>
        <v>172.575274621419</v>
      </c>
      <c r="AK80" s="17" t="n">
        <f aca="false">AJ80+AK78-AK79</f>
        <v>177.535140009669</v>
      </c>
      <c r="AL80" s="17" t="n">
        <f aca="false">AK80+AL78-AL79</f>
        <v>182.321410109331</v>
      </c>
    </row>
    <row r="81" customFormat="false" ht="15" hidden="false" customHeight="false" outlineLevel="0" collapsed="false">
      <c r="A81" s="6" t="s">
        <v>167</v>
      </c>
      <c r="B81" s="3" t="s">
        <v>82</v>
      </c>
      <c r="C81" s="17" t="n">
        <f aca="false">C80*Допущения!$E$28*C$7</f>
        <v>6</v>
      </c>
      <c r="D81" s="17" t="n">
        <f aca="false">D80*Допущения!$E$28*D$7</f>
        <v>8.8425</v>
      </c>
      <c r="E81" s="17" t="n">
        <f aca="false">E80*Допущения!$E$28*E$7</f>
        <v>13.0330125</v>
      </c>
      <c r="F81" s="17" t="n">
        <f aca="false">F80*Допущения!$E$28*F$7</f>
        <v>28.4614284375</v>
      </c>
      <c r="G81" s="17" t="n">
        <f aca="false">G80*Допущения!$E$28*G$7</f>
        <v>38.4618062864063</v>
      </c>
      <c r="H81" s="17" t="n">
        <f aca="false">H80*Допущения!$E$28*H$7</f>
        <v>49.4897924360531</v>
      </c>
      <c r="I81" s="17" t="n">
        <f aca="false">I80*Допущения!$E$28*I$7</f>
        <v>61.4874538425239</v>
      </c>
      <c r="J81" s="17" t="n">
        <f aca="false">J80*Допущения!$E$28*J$7</f>
        <v>42.5140879741757</v>
      </c>
      <c r="K81" s="17" t="n">
        <f aca="false">K80*Допущения!$E$28*K$7</f>
        <v>52.9043567569645</v>
      </c>
      <c r="L81" s="17" t="n">
        <f aca="false">L80*Допущения!$E$28*L$7</f>
        <v>64.2252269671897</v>
      </c>
      <c r="M81" s="17" t="n">
        <f aca="false">M80*Допущения!$E$28*M$7</f>
        <v>69.4773440233381</v>
      </c>
      <c r="N81" s="17" t="n">
        <f aca="false">N80*Допущения!$E$28*N$7</f>
        <v>74.5456369825213</v>
      </c>
      <c r="O81" s="17" t="n">
        <f aca="false">O80*Допущения!$E$28*O$7</f>
        <v>67.1492317505064</v>
      </c>
      <c r="P81" s="17" t="n">
        <f aca="false">P80*Допущения!$E$28*P$7</f>
        <v>55.799256479429</v>
      </c>
      <c r="Q81" s="17" t="n">
        <f aca="false">Q80*Допущения!$E$28*Q$7</f>
        <v>61.046282502649</v>
      </c>
      <c r="R81" s="17" t="n">
        <f aca="false">R80*Допущения!$E$28*R$7</f>
        <v>110.182771025094</v>
      </c>
      <c r="S81" s="17" t="n">
        <f aca="false">S80*Допущения!$E$28*S$7</f>
        <v>130.159011443137</v>
      </c>
      <c r="T81" s="17" t="n">
        <f aca="false">T80*Допущения!$E$28*T$7</f>
        <v>151.421941137412</v>
      </c>
      <c r="U81" s="17" t="n">
        <f aca="false">U80*Допущения!$E$28*U$7</f>
        <v>173.899020964069</v>
      </c>
      <c r="V81" s="17" t="n">
        <f aca="false">V80*Допущения!$E$28*V$7</f>
        <v>112.869264757124</v>
      </c>
      <c r="W81" s="17" t="n">
        <f aca="false">W80*Допущения!$E$28*W$7</f>
        <v>133.333695551953</v>
      </c>
      <c r="X81" s="17" t="n">
        <f aca="false">X80*Допущения!$E$28*X$7</f>
        <v>154.963351341816</v>
      </c>
      <c r="Y81" s="17" t="n">
        <f aca="false">Y80*Допущения!$E$28*Y$7</f>
        <v>161.539634044853</v>
      </c>
      <c r="Z81" s="17" t="n">
        <f aca="false">Z80*Допущения!$E$28*Z$7</f>
        <v>167.885746853283</v>
      </c>
      <c r="AA81" s="17" t="n">
        <f aca="false">AA80*Допущения!$E$28*AA$7</f>
        <v>142.807796570734</v>
      </c>
      <c r="AB81" s="17" t="n">
        <f aca="false">AB80*Допущения!$E$28*AB$7</f>
        <v>113.257142768069</v>
      </c>
      <c r="AC81" s="17" t="n">
        <f aca="false">AC80*Допущения!$E$28*AC$7</f>
        <v>119.193142771186</v>
      </c>
      <c r="AD81" s="17" t="n">
        <f aca="false">AD80*Допущения!$E$28*AD$7</f>
        <v>208.202304623658</v>
      </c>
      <c r="AE81" s="17" t="n">
        <f aca="false">AE80*Допущения!$E$28*AE$7</f>
        <v>239.156746358013</v>
      </c>
      <c r="AF81" s="17" t="n">
        <f aca="false">AF80*Допущения!$E$28*AF$7</f>
        <v>271.566829347799</v>
      </c>
      <c r="AG81" s="17" t="n">
        <f aca="false">AG80*Допущения!$E$28*AG$7</f>
        <v>305.350489514012</v>
      </c>
      <c r="AH81" s="17" t="n">
        <f aca="false">AH80*Допущения!$E$28*AH$7</f>
        <v>194.531213772936</v>
      </c>
      <c r="AI81" s="17" t="n">
        <f aca="false">AI80*Допущения!$E$28*AI$7</f>
        <v>226.037948952244</v>
      </c>
      <c r="AJ81" s="17" t="n">
        <f aca="false">AJ80*Допущения!$E$28*AJ$7</f>
        <v>258.862911932128</v>
      </c>
      <c r="AK81" s="17" t="n">
        <f aca="false">AK80*Допущения!$E$28*AK$7</f>
        <v>266.302710014504</v>
      </c>
      <c r="AL81" s="17" t="n">
        <f aca="false">AL80*Допущения!$E$28*AL$7</f>
        <v>273.482115163996</v>
      </c>
    </row>
    <row r="82" customFormat="false" ht="15" hidden="false" customHeight="false" outlineLevel="0" collapsed="false">
      <c r="A82" s="6" t="s">
        <v>168</v>
      </c>
      <c r="B82" s="3" t="s">
        <v>82</v>
      </c>
      <c r="C82" s="14" t="n">
        <f aca="false">C81*Допущения!$E$29</f>
        <v>900</v>
      </c>
      <c r="D82" s="14" t="n">
        <f aca="false">D81*Допущения!$E$29</f>
        <v>1326.375</v>
      </c>
      <c r="E82" s="14" t="n">
        <f aca="false">E81*Допущения!$E$29</f>
        <v>1954.951875</v>
      </c>
      <c r="F82" s="14" t="n">
        <f aca="false">F81*Допущения!$E$29</f>
        <v>4269.214265625</v>
      </c>
      <c r="G82" s="14" t="n">
        <f aca="false">G81*Допущения!$E$29</f>
        <v>5769.27094296094</v>
      </c>
      <c r="H82" s="14" t="n">
        <f aca="false">H81*Допущения!$E$29</f>
        <v>7423.46886540797</v>
      </c>
      <c r="I82" s="14" t="n">
        <f aca="false">I81*Допущения!$E$29</f>
        <v>9223.11807637858</v>
      </c>
      <c r="J82" s="14" t="n">
        <f aca="false">J81*Допущения!$E$29</f>
        <v>6377.11319612636</v>
      </c>
      <c r="K82" s="14" t="n">
        <f aca="false">K81*Допущения!$E$29</f>
        <v>7935.65351354468</v>
      </c>
      <c r="L82" s="14" t="n">
        <f aca="false">L81*Допущения!$E$29</f>
        <v>9633.78404507846</v>
      </c>
      <c r="M82" s="14" t="n">
        <f aca="false">M81*Допущения!$E$29</f>
        <v>10421.6016035007</v>
      </c>
      <c r="N82" s="14" t="n">
        <f aca="false">N81*Допущения!$E$29</f>
        <v>11181.8455473782</v>
      </c>
      <c r="O82" s="14" t="n">
        <f aca="false">O81*Допущения!$E$29</f>
        <v>10072.384762576</v>
      </c>
      <c r="P82" s="14" t="n">
        <f aca="false">P81*Допущения!$E$29</f>
        <v>8369.88847191435</v>
      </c>
      <c r="Q82" s="14" t="n">
        <f aca="false">Q81*Допущения!$E$29</f>
        <v>9156.94237539735</v>
      </c>
      <c r="R82" s="14" t="n">
        <f aca="false">R81*Допущения!$E$29</f>
        <v>16527.4156537641</v>
      </c>
      <c r="S82" s="14" t="n">
        <f aca="false">S81*Допущения!$E$29</f>
        <v>19523.8517164706</v>
      </c>
      <c r="T82" s="14" t="n">
        <f aca="false">T81*Допущения!$E$29</f>
        <v>22713.2911706117</v>
      </c>
      <c r="U82" s="14" t="n">
        <f aca="false">U81*Допущения!$E$29</f>
        <v>26084.8531446104</v>
      </c>
      <c r="V82" s="14" t="n">
        <f aca="false">V81*Допущения!$E$29</f>
        <v>16930.3897135686</v>
      </c>
      <c r="W82" s="14" t="n">
        <f aca="false">W81*Допущения!$E$29</f>
        <v>20000.0543327929</v>
      </c>
      <c r="X82" s="14" t="n">
        <f aca="false">X81*Допущения!$E$29</f>
        <v>23244.5027012724</v>
      </c>
      <c r="Y82" s="14" t="n">
        <f aca="false">Y81*Допущения!$E$29</f>
        <v>24230.9451067279</v>
      </c>
      <c r="Z82" s="14" t="n">
        <f aca="false">Z81*Допущения!$E$29</f>
        <v>25182.8620279924</v>
      </c>
      <c r="AA82" s="14" t="n">
        <f aca="false">AA81*Допущения!$E$29</f>
        <v>21421.1694856101</v>
      </c>
      <c r="AB82" s="14" t="n">
        <f aca="false">AB81*Допущения!$E$29</f>
        <v>16988.5714152103</v>
      </c>
      <c r="AC82" s="14" t="n">
        <f aca="false">AC81*Допущения!$E$29</f>
        <v>17878.971415678</v>
      </c>
      <c r="AD82" s="14" t="n">
        <f aca="false">AD81*Допущения!$E$29</f>
        <v>31230.3456935487</v>
      </c>
      <c r="AE82" s="14" t="n">
        <f aca="false">AE81*Допущения!$E$29</f>
        <v>35873.511953702</v>
      </c>
      <c r="AF82" s="14" t="n">
        <f aca="false">AF81*Допущения!$E$29</f>
        <v>40735.0244021699</v>
      </c>
      <c r="AG82" s="14" t="n">
        <f aca="false">AG81*Допущения!$E$29</f>
        <v>45802.5734271018</v>
      </c>
      <c r="AH82" s="14" t="n">
        <f aca="false">AH81*Допущения!$E$29</f>
        <v>29179.6820659404</v>
      </c>
      <c r="AI82" s="14" t="n">
        <f aca="false">AI81*Допущения!$E$29</f>
        <v>33905.6923428366</v>
      </c>
      <c r="AJ82" s="14" t="n">
        <f aca="false">AJ81*Допущения!$E$29</f>
        <v>38829.4367898192</v>
      </c>
      <c r="AK82" s="14" t="n">
        <f aca="false">AK81*Допущения!$E$29</f>
        <v>39945.4065021756</v>
      </c>
      <c r="AL82" s="14" t="n">
        <f aca="false">AL81*Допущения!$E$29</f>
        <v>41022.3172745994</v>
      </c>
    </row>
    <row r="83" customFormat="false" ht="15" hidden="false" customHeight="false" outlineLevel="0" collapsed="false">
      <c r="A83" s="6" t="s">
        <v>169</v>
      </c>
      <c r="B83" s="3" t="s">
        <v>82</v>
      </c>
      <c r="C83" s="14" t="n">
        <f aca="false">C82*(1-Допущения!$C$12)</f>
        <v>810</v>
      </c>
      <c r="D83" s="14" t="n">
        <f aca="false">D82*(1-Допущения!$C$12)</f>
        <v>1193.7375</v>
      </c>
      <c r="E83" s="14" t="n">
        <f aca="false">E82*(1-Допущения!$C$12)</f>
        <v>1759.4566875</v>
      </c>
      <c r="F83" s="14" t="n">
        <f aca="false">F82*(1-Допущения!$C$12)</f>
        <v>3842.2928390625</v>
      </c>
      <c r="G83" s="14" t="n">
        <f aca="false">G82*(1-Допущения!$C$12)</f>
        <v>5192.34384866485</v>
      </c>
      <c r="H83" s="14" t="n">
        <f aca="false">H82*(1-Допущения!$C$12)</f>
        <v>6681.12197886717</v>
      </c>
      <c r="I83" s="14" t="n">
        <f aca="false">I82*(1-Допущения!$C$12)</f>
        <v>8300.80626874073</v>
      </c>
      <c r="J83" s="14" t="n">
        <f aca="false">J82*(1-Допущения!$C$12)</f>
        <v>5739.40187651372</v>
      </c>
      <c r="K83" s="14" t="n">
        <f aca="false">K82*(1-Допущения!$C$12)</f>
        <v>7142.08816219021</v>
      </c>
      <c r="L83" s="14" t="n">
        <f aca="false">L82*(1-Допущения!$C$12)</f>
        <v>8670.40564057061</v>
      </c>
      <c r="M83" s="14" t="n">
        <f aca="false">M82*(1-Допущения!$C$12)</f>
        <v>9379.44144315065</v>
      </c>
      <c r="N83" s="14" t="n">
        <f aca="false">N82*(1-Допущения!$C$12)</f>
        <v>10063.6609926404</v>
      </c>
      <c r="O83" s="14" t="n">
        <f aca="false">O82*(1-Допущения!$C$12)</f>
        <v>9065.14628631837</v>
      </c>
      <c r="P83" s="14" t="n">
        <f aca="false">P82*(1-Допущения!$C$12)</f>
        <v>7532.89962472292</v>
      </c>
      <c r="Q83" s="14" t="n">
        <f aca="false">Q82*(1-Допущения!$C$12)</f>
        <v>8241.24813785761</v>
      </c>
      <c r="R83" s="14" t="n">
        <f aca="false">R82*(1-Допущения!$C$12)</f>
        <v>14874.6740883877</v>
      </c>
      <c r="S83" s="14" t="n">
        <f aca="false">S82*(1-Допущения!$C$12)</f>
        <v>17571.4665448235</v>
      </c>
      <c r="T83" s="14" t="n">
        <f aca="false">T82*(1-Допущения!$C$12)</f>
        <v>20441.9620535506</v>
      </c>
      <c r="U83" s="14" t="n">
        <f aca="false">U82*(1-Допущения!$C$12)</f>
        <v>23476.3678301493</v>
      </c>
      <c r="V83" s="14" t="n">
        <f aca="false">V82*(1-Допущения!$C$12)</f>
        <v>15237.3507422118</v>
      </c>
      <c r="W83" s="14" t="n">
        <f aca="false">W82*(1-Допущения!$C$12)</f>
        <v>18000.0488995136</v>
      </c>
      <c r="X83" s="14" t="n">
        <f aca="false">X82*(1-Допущения!$C$12)</f>
        <v>20920.0524311452</v>
      </c>
      <c r="Y83" s="14" t="n">
        <f aca="false">Y82*(1-Допущения!$C$12)</f>
        <v>21807.8505960551</v>
      </c>
      <c r="Z83" s="14" t="n">
        <f aca="false">Z82*(1-Допущения!$C$12)</f>
        <v>22664.5758251932</v>
      </c>
      <c r="AA83" s="14" t="n">
        <f aca="false">AA82*(1-Допущения!$C$12)</f>
        <v>19279.0525370491</v>
      </c>
      <c r="AB83" s="14" t="n">
        <f aca="false">AB82*(1-Допущения!$C$12)</f>
        <v>15289.7142736893</v>
      </c>
      <c r="AC83" s="14" t="n">
        <f aca="false">AC82*(1-Допущения!$C$12)</f>
        <v>16091.0742741102</v>
      </c>
      <c r="AD83" s="14" t="n">
        <f aca="false">AD82*(1-Допущения!$C$12)</f>
        <v>28107.3111241939</v>
      </c>
      <c r="AE83" s="14" t="n">
        <f aca="false">AE82*(1-Допущения!$C$12)</f>
        <v>32286.1607583318</v>
      </c>
      <c r="AF83" s="14" t="n">
        <f aca="false">AF82*(1-Допущения!$C$12)</f>
        <v>36661.5219619529</v>
      </c>
      <c r="AG83" s="14" t="n">
        <f aca="false">AG82*(1-Допущения!$C$12)</f>
        <v>41222.3160843916</v>
      </c>
      <c r="AH83" s="14" t="n">
        <f aca="false">AH82*(1-Допущения!$C$12)</f>
        <v>26261.7138593464</v>
      </c>
      <c r="AI83" s="14" t="n">
        <f aca="false">AI82*(1-Допущения!$C$12)</f>
        <v>30515.1231085529</v>
      </c>
      <c r="AJ83" s="14" t="n">
        <f aca="false">AJ82*(1-Допущения!$C$12)</f>
        <v>34946.4931108373</v>
      </c>
      <c r="AK83" s="14" t="n">
        <f aca="false">AK82*(1-Допущения!$C$12)</f>
        <v>35950.865851958</v>
      </c>
      <c r="AL83" s="14" t="n">
        <f aca="false">AL82*(1-Допущения!$C$12)</f>
        <v>36920.0855471395</v>
      </c>
    </row>
    <row r="84" customFormat="false" ht="15" hidden="false" customHeight="false" outlineLevel="0" collapsed="false">
      <c r="A84" s="6" t="s">
        <v>170</v>
      </c>
      <c r="B84" s="3" t="s">
        <v>85</v>
      </c>
      <c r="C84" s="14" t="n">
        <f aca="false">C83*Допущения!$E$22</f>
        <v>5670000</v>
      </c>
      <c r="D84" s="14" t="n">
        <f aca="false">D83*Допущения!$E$22</f>
        <v>8356162.5</v>
      </c>
      <c r="E84" s="14" t="n">
        <f aca="false">E83*Допущения!$E$22</f>
        <v>12316196.8125</v>
      </c>
      <c r="F84" s="14" t="n">
        <f aca="false">F83*Допущения!$E$22</f>
        <v>26896049.8734375</v>
      </c>
      <c r="G84" s="14" t="n">
        <f aca="false">G83*Допущения!$E$22</f>
        <v>36346406.9406539</v>
      </c>
      <c r="H84" s="14" t="n">
        <f aca="false">H83*Допущения!$E$22</f>
        <v>46767853.8520702</v>
      </c>
      <c r="I84" s="14" t="n">
        <f aca="false">I83*Допущения!$E$22</f>
        <v>58105643.8811851</v>
      </c>
      <c r="J84" s="14" t="n">
        <f aca="false">J83*Допущения!$E$22</f>
        <v>40175813.1355961</v>
      </c>
      <c r="K84" s="14" t="n">
        <f aca="false">K83*Допущения!$E$22</f>
        <v>49994617.1353315</v>
      </c>
      <c r="L84" s="14" t="n">
        <f aca="false">L83*Допущения!$E$22</f>
        <v>60692839.4839943</v>
      </c>
      <c r="M84" s="14" t="n">
        <f aca="false">M83*Допущения!$E$22</f>
        <v>65656090.1020545</v>
      </c>
      <c r="N84" s="14" t="n">
        <f aca="false">N83*Допущения!$E$22</f>
        <v>70445626.9484826</v>
      </c>
      <c r="O84" s="14" t="n">
        <f aca="false">O83*Допущения!$E$22</f>
        <v>63456024.0042286</v>
      </c>
      <c r="P84" s="14" t="n">
        <f aca="false">P83*Допущения!$E$22</f>
        <v>52730297.3730604</v>
      </c>
      <c r="Q84" s="14" t="n">
        <f aca="false">Q83*Допущения!$E$22</f>
        <v>57688736.9650033</v>
      </c>
      <c r="R84" s="14" t="n">
        <f aca="false">R83*Допущения!$E$22</f>
        <v>104122718.618714</v>
      </c>
      <c r="S84" s="14" t="n">
        <f aca="false">S83*Допущения!$E$22</f>
        <v>123000265.813765</v>
      </c>
      <c r="T84" s="14" t="n">
        <f aca="false">T83*Допущения!$E$22</f>
        <v>143093734.374854</v>
      </c>
      <c r="U84" s="14" t="n">
        <f aca="false">U83*Допущения!$E$22</f>
        <v>164334574.811045</v>
      </c>
      <c r="V84" s="14" t="n">
        <f aca="false">V83*Допущения!$E$22</f>
        <v>106661455.195482</v>
      </c>
      <c r="W84" s="14" t="n">
        <f aca="false">W83*Допущения!$E$22</f>
        <v>126000342.296595</v>
      </c>
      <c r="X84" s="14" t="n">
        <f aca="false">X83*Допущения!$E$22</f>
        <v>146440367.018016</v>
      </c>
      <c r="Y84" s="14" t="n">
        <f aca="false">Y83*Допущения!$E$22</f>
        <v>152654954.172386</v>
      </c>
      <c r="Z84" s="14" t="n">
        <f aca="false">Z83*Допущения!$E$22</f>
        <v>158652030.776352</v>
      </c>
      <c r="AA84" s="14" t="n">
        <f aca="false">AA83*Допущения!$E$22</f>
        <v>134953367.759344</v>
      </c>
      <c r="AB84" s="14" t="n">
        <f aca="false">AB83*Допущения!$E$22</f>
        <v>107027999.915825</v>
      </c>
      <c r="AC84" s="14" t="n">
        <f aca="false">AC83*Допущения!$E$22</f>
        <v>112637519.918771</v>
      </c>
      <c r="AD84" s="14" t="n">
        <f aca="false">AD83*Допущения!$E$22</f>
        <v>196751177.869357</v>
      </c>
      <c r="AE84" s="14" t="n">
        <f aca="false">AE83*Допущения!$E$22</f>
        <v>226003125.308323</v>
      </c>
      <c r="AF84" s="14" t="n">
        <f aca="false">AF83*Допущения!$E$22</f>
        <v>256630653.73367</v>
      </c>
      <c r="AG84" s="14" t="n">
        <f aca="false">AG83*Допущения!$E$22</f>
        <v>288556212.590741</v>
      </c>
      <c r="AH84" s="14" t="n">
        <f aca="false">AH83*Допущения!$E$22</f>
        <v>183831997.015425</v>
      </c>
      <c r="AI84" s="14" t="n">
        <f aca="false">AI83*Допущения!$E$22</f>
        <v>213605861.759871</v>
      </c>
      <c r="AJ84" s="14" t="n">
        <f aca="false">AJ83*Допущения!$E$22</f>
        <v>244625451.775861</v>
      </c>
      <c r="AK84" s="14" t="n">
        <f aca="false">AK83*Допущения!$E$22</f>
        <v>251656060.963706</v>
      </c>
      <c r="AL84" s="14" t="n">
        <f aca="false">AL83*Допущения!$E$22</f>
        <v>258440598.829976</v>
      </c>
    </row>
    <row r="85" customFormat="false" ht="15" hidden="false" customHeight="false" outlineLevel="0" collapsed="false">
      <c r="A85" s="6" t="s">
        <v>171</v>
      </c>
      <c r="B85" s="3" t="s">
        <v>85</v>
      </c>
      <c r="C85" s="14" t="n">
        <f aca="false">C84*(Допущения!$C$6+Допущения!$C$7)*(1-Допущения!$C$13)</f>
        <v>274995</v>
      </c>
      <c r="D85" s="14" t="n">
        <f aca="false">D84*(Допущения!$C$6+Допущения!$C$7)*(1-Допущения!$C$13)</f>
        <v>405273.88125</v>
      </c>
      <c r="E85" s="14" t="n">
        <f aca="false">E84*(Допущения!$C$6+Допущения!$C$7)*(1-Допущения!$C$13)</f>
        <v>597335.54540625</v>
      </c>
      <c r="F85" s="14" t="n">
        <f aca="false">F84*(Допущения!$C$6+Допущения!$C$7)*(1-Допущения!$C$13)</f>
        <v>1304458.41886172</v>
      </c>
      <c r="G85" s="14" t="n">
        <f aca="false">G84*(Допущения!$C$6+Допущения!$C$7)*(1-Допущения!$C$13)</f>
        <v>1762800.73662172</v>
      </c>
      <c r="H85" s="14" t="n">
        <f aca="false">H84*(Допущения!$C$6+Допущения!$C$7)*(1-Допущения!$C$13)</f>
        <v>2268240.91182541</v>
      </c>
      <c r="I85" s="14" t="n">
        <f aca="false">I84*(Допущения!$C$6+Допущения!$C$7)*(1-Допущения!$C$13)</f>
        <v>2818123.72823748</v>
      </c>
      <c r="J85" s="14" t="n">
        <f aca="false">J84*(Допущения!$C$6+Допущения!$C$7)*(1-Допущения!$C$13)</f>
        <v>1948526.93707641</v>
      </c>
      <c r="K85" s="14" t="n">
        <f aca="false">K84*(Допущения!$C$6+Допущения!$C$7)*(1-Допущения!$C$13)</f>
        <v>2424738.93106358</v>
      </c>
      <c r="L85" s="14" t="n">
        <f aca="false">L84*(Допущения!$C$6+Допущения!$C$7)*(1-Допущения!$C$13)</f>
        <v>2943602.71497372</v>
      </c>
      <c r="M85" s="14" t="n">
        <f aca="false">M84*(Допущения!$C$6+Допущения!$C$7)*(1-Допущения!$C$13)</f>
        <v>3184320.36994964</v>
      </c>
      <c r="N85" s="14" t="n">
        <f aca="false">N84*(Допущения!$C$6+Допущения!$C$7)*(1-Допущения!$C$13)</f>
        <v>3416612.90700141</v>
      </c>
      <c r="O85" s="14" t="n">
        <f aca="false">O84*(Допущения!$C$6+Допущения!$C$7)*(1-Допущения!$C$13)</f>
        <v>3077617.16420509</v>
      </c>
      <c r="P85" s="14" t="n">
        <f aca="false">P84*(Допущения!$C$6+Допущения!$C$7)*(1-Допущения!$C$13)</f>
        <v>2557419.42259343</v>
      </c>
      <c r="Q85" s="14" t="n">
        <f aca="false">Q84*(Допущения!$C$6+Допущения!$C$7)*(1-Допущения!$C$13)</f>
        <v>2797903.74280266</v>
      </c>
      <c r="R85" s="14" t="n">
        <f aca="false">R84*(Допущения!$C$6+Допущения!$C$7)*(1-Допущения!$C$13)</f>
        <v>5049951.85300761</v>
      </c>
      <c r="S85" s="14" t="n">
        <f aca="false">S84*(Допущения!$C$6+Допущения!$C$7)*(1-Допущения!$C$13)</f>
        <v>5965512.89196758</v>
      </c>
      <c r="T85" s="14" t="n">
        <f aca="false">T84*(Допущения!$C$6+Допущения!$C$7)*(1-Допущения!$C$13)</f>
        <v>6940046.11718042</v>
      </c>
      <c r="U85" s="14" t="n">
        <f aca="false">U84*(Допущения!$C$6+Допущения!$C$7)*(1-Допущения!$C$13)</f>
        <v>7970226.87833569</v>
      </c>
      <c r="V85" s="14" t="n">
        <f aca="false">V84*(Допущения!$C$6+Допущения!$C$7)*(1-Допущения!$C$13)</f>
        <v>5173080.57698089</v>
      </c>
      <c r="W85" s="14" t="n">
        <f aca="false">W84*(Допущения!$C$6+Допущения!$C$7)*(1-Допущения!$C$13)</f>
        <v>6111016.60138488</v>
      </c>
      <c r="X85" s="14" t="n">
        <f aca="false">X84*(Допущения!$C$6+Допущения!$C$7)*(1-Допущения!$C$13)</f>
        <v>7102357.80037379</v>
      </c>
      <c r="Y85" s="14" t="n">
        <f aca="false">Y84*(Допущения!$C$6+Допущения!$C$7)*(1-Допущения!$C$13)</f>
        <v>7403765.2773607</v>
      </c>
      <c r="Z85" s="14" t="n">
        <f aca="false">Z84*(Допущения!$C$6+Допущения!$C$7)*(1-Допущения!$C$13)</f>
        <v>7694623.49265308</v>
      </c>
      <c r="AA85" s="14" t="n">
        <f aca="false">AA84*(Допущения!$C$6+Допущения!$C$7)*(1-Допущения!$C$13)</f>
        <v>6545238.33632818</v>
      </c>
      <c r="AB85" s="14" t="n">
        <f aca="false">AB84*(Допущения!$C$6+Допущения!$C$7)*(1-Допущения!$C$13)</f>
        <v>5190857.99591752</v>
      </c>
      <c r="AC85" s="14" t="n">
        <f aca="false">AC84*(Допущения!$C$6+Допущения!$C$7)*(1-Допущения!$C$13)</f>
        <v>5462919.71606041</v>
      </c>
      <c r="AD85" s="14" t="n">
        <f aca="false">AD84*(Допущения!$C$6+Допущения!$C$7)*(1-Допущения!$C$13)</f>
        <v>9542432.12666382</v>
      </c>
      <c r="AE85" s="14" t="n">
        <f aca="false">AE84*(Допущения!$C$6+Допущения!$C$7)*(1-Допущения!$C$13)</f>
        <v>10961151.5774536</v>
      </c>
      <c r="AF85" s="14" t="n">
        <f aca="false">AF84*(Допущения!$C$6+Допущения!$C$7)*(1-Допущения!$C$13)</f>
        <v>12446586.706083</v>
      </c>
      <c r="AG85" s="14" t="n">
        <f aca="false">AG84*(Допущения!$C$6+Допущения!$C$7)*(1-Допущения!$C$13)</f>
        <v>13994976.310651</v>
      </c>
      <c r="AH85" s="14" t="n">
        <f aca="false">AH84*(Допущения!$C$6+Допущения!$C$7)*(1-Допущения!$C$13)</f>
        <v>8915851.8552481</v>
      </c>
      <c r="AI85" s="14" t="n">
        <f aca="false">AI84*(Допущения!$C$6+Допущения!$C$7)*(1-Допущения!$C$13)</f>
        <v>10359884.2953537</v>
      </c>
      <c r="AJ85" s="14" t="n">
        <f aca="false">AJ84*(Допущения!$C$6+Допущения!$C$7)*(1-Допущения!$C$13)</f>
        <v>11864334.4111293</v>
      </c>
      <c r="AK85" s="14" t="n">
        <f aca="false">AK84*(Допущения!$C$6+Допущения!$C$7)*(1-Допущения!$C$13)</f>
        <v>12205318.9567397</v>
      </c>
      <c r="AL85" s="14" t="n">
        <f aca="false">AL84*(Допущения!$C$6+Допущения!$C$7)*(1-Допущения!$C$13)</f>
        <v>12534369.0432539</v>
      </c>
    </row>
    <row r="86" customFormat="false" ht="15" hidden="false" customHeight="false" outlineLevel="0" collapsed="false">
      <c r="A86" s="6" t="s">
        <v>172</v>
      </c>
      <c r="B86" s="3" t="s">
        <v>85</v>
      </c>
      <c r="C86" s="14" t="n">
        <f aca="false">C84*(1+Допущения!$C$6)*Допущения!$E$23</f>
        <v>89302.5</v>
      </c>
      <c r="D86" s="14" t="n">
        <f aca="false">D84*(1+Допущения!$C$6)*Допущения!$E$23</f>
        <v>131609.559375</v>
      </c>
      <c r="E86" s="14" t="n">
        <f aca="false">E84*(1+Допущения!$C$6)*Допущения!$E$23</f>
        <v>193980.099796875</v>
      </c>
      <c r="F86" s="14" t="n">
        <f aca="false">F84*(1+Допущения!$C$6)*Допущения!$E$23</f>
        <v>423612.785506641</v>
      </c>
      <c r="G86" s="14" t="n">
        <f aca="false">G84*(1+Допущения!$C$6)*Допущения!$E$23</f>
        <v>572455.909315299</v>
      </c>
      <c r="H86" s="14" t="n">
        <f aca="false">H84*(1+Допущения!$C$6)*Допущения!$E$23</f>
        <v>736593.698170106</v>
      </c>
      <c r="I86" s="14" t="n">
        <f aca="false">I84*(1+Допущения!$C$6)*Допущения!$E$23</f>
        <v>915163.891128665</v>
      </c>
      <c r="J86" s="14" t="n">
        <f aca="false">J84*(1+Допущения!$C$6)*Допущения!$E$23</f>
        <v>632769.056885638</v>
      </c>
      <c r="K86" s="14" t="n">
        <f aca="false">K84*(1+Допущения!$C$6)*Допущения!$E$23</f>
        <v>787415.219881471</v>
      </c>
      <c r="L86" s="14" t="n">
        <f aca="false">L84*(1+Допущения!$C$6)*Допущения!$E$23</f>
        <v>955912.22187291</v>
      </c>
      <c r="M86" s="14" t="n">
        <f aca="false">M84*(1+Допущения!$C$6)*Допущения!$E$23</f>
        <v>1034083.41910736</v>
      </c>
      <c r="N86" s="14" t="n">
        <f aca="false">N84*(1+Допущения!$C$6)*Допущения!$E$23</f>
        <v>1109518.6244386</v>
      </c>
      <c r="O86" s="14" t="n">
        <f aca="false">O84*(1+Допущения!$C$6)*Допущения!$E$23</f>
        <v>999432.3780666</v>
      </c>
      <c r="P86" s="14" t="n">
        <f aca="false">P84*(1+Допущения!$C$6)*Допущения!$E$23</f>
        <v>830502.183625702</v>
      </c>
      <c r="Q86" s="14" t="n">
        <f aca="false">Q84*(1+Допущения!$C$6)*Допущения!$E$23</f>
        <v>908597.607198802</v>
      </c>
      <c r="R86" s="14" t="n">
        <f aca="false">R84*(1+Допущения!$C$6)*Допущения!$E$23</f>
        <v>1639932.81824474</v>
      </c>
      <c r="S86" s="14" t="n">
        <f aca="false">S84*(1+Допущения!$C$6)*Допущения!$E$23</f>
        <v>1937254.18656679</v>
      </c>
      <c r="T86" s="14" t="n">
        <f aca="false">T84*(1+Допущения!$C$6)*Допущения!$E$23</f>
        <v>2253726.31640395</v>
      </c>
      <c r="U86" s="14" t="n">
        <f aca="false">U84*(1+Допущения!$C$6)*Допущения!$E$23</f>
        <v>2588269.55327396</v>
      </c>
      <c r="V86" s="14" t="n">
        <f aca="false">V84*(1+Допущения!$C$6)*Допущения!$E$23</f>
        <v>1679917.91932885</v>
      </c>
      <c r="W86" s="14" t="n">
        <f aca="false">W84*(1+Допущения!$C$6)*Допущения!$E$23</f>
        <v>1984505.39117138</v>
      </c>
      <c r="X86" s="14" t="n">
        <f aca="false">X84*(1+Допущения!$C$6)*Допущения!$E$23</f>
        <v>2306435.78053376</v>
      </c>
      <c r="Y86" s="14" t="n">
        <f aca="false">Y84*(1+Допущения!$C$6)*Допущения!$E$23</f>
        <v>2404315.52821507</v>
      </c>
      <c r="Z86" s="14" t="n">
        <f aca="false">Z84*(1+Допущения!$C$6)*Допущения!$E$23</f>
        <v>2498769.48472755</v>
      </c>
      <c r="AA86" s="14" t="n">
        <f aca="false">AA84*(1+Допущения!$C$6)*Допущения!$E$23</f>
        <v>2125515.54220967</v>
      </c>
      <c r="AB86" s="14" t="n">
        <f aca="false">AB84*(1+Допущения!$C$6)*Допущения!$E$23</f>
        <v>1685690.99867425</v>
      </c>
      <c r="AC86" s="14" t="n">
        <f aca="false">AC84*(1+Допущения!$C$6)*Допущения!$E$23</f>
        <v>1774040.93872065</v>
      </c>
      <c r="AD86" s="14" t="n">
        <f aca="false">AD84*(1+Допущения!$C$6)*Допущения!$E$23</f>
        <v>3098831.05144237</v>
      </c>
      <c r="AE86" s="14" t="n">
        <f aca="false">AE84*(1+Допущения!$C$6)*Допущения!$E$23</f>
        <v>3559549.22360608</v>
      </c>
      <c r="AF86" s="14" t="n">
        <f aca="false">AF84*(1+Допущения!$C$6)*Допущения!$E$23</f>
        <v>4041932.79630531</v>
      </c>
      <c r="AG86" s="14" t="n">
        <f aca="false">AG84*(1+Допущения!$C$6)*Допущения!$E$23</f>
        <v>4544760.34830418</v>
      </c>
      <c r="AH86" s="14" t="n">
        <f aca="false">AH84*(1+Допущения!$C$6)*Допущения!$E$23</f>
        <v>2895353.95299294</v>
      </c>
      <c r="AI86" s="14" t="n">
        <f aca="false">AI84*(1+Допущения!$C$6)*Допущения!$E$23</f>
        <v>3364292.32271796</v>
      </c>
      <c r="AJ86" s="14" t="n">
        <f aca="false">AJ84*(1+Допущения!$C$6)*Допущения!$E$23</f>
        <v>3852850.86546981</v>
      </c>
      <c r="AK86" s="14" t="n">
        <f aca="false">AK84*(1+Допущения!$C$6)*Допущения!$E$23</f>
        <v>3963582.96017837</v>
      </c>
      <c r="AL86" s="14" t="n">
        <f aca="false">AL84*(1+Допущения!$C$6)*Допущения!$E$23</f>
        <v>4070439.43157213</v>
      </c>
    </row>
    <row r="87" customFormat="false" ht="15" hidden="false" customHeight="false" outlineLevel="0" collapsed="false">
      <c r="A87" s="6" t="s">
        <v>173</v>
      </c>
      <c r="B87" s="3" t="s">
        <v>85</v>
      </c>
      <c r="C87" s="14" t="n">
        <f aca="false">C82/Допущения!$C$9*Допущения!$C$10+C82*Допущения!$C$11</f>
        <v>13500</v>
      </c>
      <c r="D87" s="14" t="n">
        <f aca="false">D82/Допущения!$C$9*Допущения!$C$10+D82*Допущения!$C$11</f>
        <v>19895.625</v>
      </c>
      <c r="E87" s="14" t="n">
        <f aca="false">E82/Допущения!$C$9*Допущения!$C$10+E82*Допущения!$C$11</f>
        <v>29324.278125</v>
      </c>
      <c r="F87" s="14" t="n">
        <f aca="false">F82/Допущения!$C$9*Допущения!$C$10+F82*Допущения!$C$11</f>
        <v>64038.213984375</v>
      </c>
      <c r="G87" s="14" t="n">
        <f aca="false">G82/Допущения!$C$9*Допущения!$C$10+G82*Допущения!$C$11</f>
        <v>86539.0641444141</v>
      </c>
      <c r="H87" s="14" t="n">
        <f aca="false">H82/Допущения!$C$9*Допущения!$C$10+H82*Допущения!$C$11</f>
        <v>111352.03298112</v>
      </c>
      <c r="I87" s="14" t="n">
        <f aca="false">I82/Допущения!$C$9*Допущения!$C$10+I82*Допущения!$C$11</f>
        <v>138346.771145679</v>
      </c>
      <c r="J87" s="14" t="n">
        <f aca="false">J82/Допущения!$C$9*Допущения!$C$10+J82*Допущения!$C$11</f>
        <v>95656.6979418954</v>
      </c>
      <c r="K87" s="14" t="n">
        <f aca="false">K82/Допущения!$C$9*Допущения!$C$10+K82*Допущения!$C$11</f>
        <v>119034.80270317</v>
      </c>
      <c r="L87" s="14" t="n">
        <f aca="false">L82/Допущения!$C$9*Допущения!$C$10+L82*Допущения!$C$11</f>
        <v>144506.760676177</v>
      </c>
      <c r="M87" s="14" t="n">
        <f aca="false">M82/Допущения!$C$9*Допущения!$C$10+M82*Допущения!$C$11</f>
        <v>156324.024052511</v>
      </c>
      <c r="N87" s="14" t="n">
        <f aca="false">N82/Допущения!$C$9*Допущения!$C$10+N82*Допущения!$C$11</f>
        <v>167727.683210673</v>
      </c>
      <c r="O87" s="14" t="n">
        <f aca="false">O82/Допущения!$C$9*Допущения!$C$10+O82*Допущения!$C$11</f>
        <v>151085.771438639</v>
      </c>
      <c r="P87" s="14" t="n">
        <f aca="false">P82/Допущения!$C$9*Допущения!$C$10+P82*Допущения!$C$11</f>
        <v>125548.327078715</v>
      </c>
      <c r="Q87" s="14" t="n">
        <f aca="false">Q82/Допущения!$C$9*Допущения!$C$10+Q82*Допущения!$C$11</f>
        <v>137354.13563096</v>
      </c>
      <c r="R87" s="14" t="n">
        <f aca="false">R82/Допущения!$C$9*Допущения!$C$10+R82*Допущения!$C$11</f>
        <v>247911.234806461</v>
      </c>
      <c r="S87" s="14" t="n">
        <f aca="false">S82/Допущения!$C$9*Допущения!$C$10+S82*Допущения!$C$11</f>
        <v>292857.775747058</v>
      </c>
      <c r="T87" s="14" t="n">
        <f aca="false">T82/Допущения!$C$9*Допущения!$C$10+T82*Допущения!$C$11</f>
        <v>340699.367559176</v>
      </c>
      <c r="U87" s="14" t="n">
        <f aca="false">U82/Допущения!$C$9*Допущения!$C$10+U82*Допущения!$C$11</f>
        <v>391272.797169155</v>
      </c>
      <c r="V87" s="14" t="n">
        <f aca="false">V82/Допущения!$C$9*Допущения!$C$10+V82*Допущения!$C$11</f>
        <v>253955.845703529</v>
      </c>
      <c r="W87" s="14" t="n">
        <f aca="false">W82/Допущения!$C$9*Допущения!$C$10+W82*Допущения!$C$11</f>
        <v>300000.814991894</v>
      </c>
      <c r="X87" s="14" t="n">
        <f aca="false">X82/Допущения!$C$9*Допущения!$C$10+X82*Допущения!$C$11</f>
        <v>348667.540519086</v>
      </c>
      <c r="Y87" s="14" t="n">
        <f aca="false">Y82/Допущения!$C$9*Допущения!$C$10+Y82*Допущения!$C$11</f>
        <v>363464.176600918</v>
      </c>
      <c r="Z87" s="14" t="n">
        <f aca="false">Z82/Допущения!$C$9*Допущения!$C$10+Z82*Допущения!$C$11</f>
        <v>377742.930419886</v>
      </c>
      <c r="AA87" s="14" t="n">
        <f aca="false">AA82/Допущения!$C$9*Допущения!$C$10+AA82*Допущения!$C$11</f>
        <v>321317.542284152</v>
      </c>
      <c r="AB87" s="14" t="n">
        <f aca="false">AB82/Допущения!$C$9*Допущения!$C$10+AB82*Допущения!$C$11</f>
        <v>254828.571228155</v>
      </c>
      <c r="AC87" s="14" t="n">
        <f aca="false">AC82/Допущения!$C$9*Допущения!$C$10+AC82*Допущения!$C$11</f>
        <v>268184.57123517</v>
      </c>
      <c r="AD87" s="14" t="n">
        <f aca="false">AD82/Допущения!$C$9*Допущения!$C$10+AD82*Допущения!$C$11</f>
        <v>468455.185403231</v>
      </c>
      <c r="AE87" s="14" t="n">
        <f aca="false">AE82/Допущения!$C$9*Допущения!$C$10+AE82*Допущения!$C$11</f>
        <v>538102.67930553</v>
      </c>
      <c r="AF87" s="14" t="n">
        <f aca="false">AF82/Допущения!$C$9*Допущения!$C$10+AF82*Допущения!$C$11</f>
        <v>611025.366032549</v>
      </c>
      <c r="AG87" s="14" t="n">
        <f aca="false">AG82/Допущения!$C$9*Допущения!$C$10+AG82*Допущения!$C$11</f>
        <v>687038.601406527</v>
      </c>
      <c r="AH87" s="14" t="n">
        <f aca="false">AH82/Допущения!$C$9*Допущения!$C$10+AH82*Допущения!$C$11</f>
        <v>437695.230989107</v>
      </c>
      <c r="AI87" s="14" t="n">
        <f aca="false">AI82/Допущения!$C$9*Допущения!$C$10+AI82*Допущения!$C$11</f>
        <v>508585.385142549</v>
      </c>
      <c r="AJ87" s="14" t="n">
        <f aca="false">AJ82/Допущения!$C$9*Допущения!$C$10+AJ82*Допущения!$C$11</f>
        <v>582441.551847289</v>
      </c>
      <c r="AK87" s="14" t="n">
        <f aca="false">AK82/Допущения!$C$9*Допущения!$C$10+AK82*Допущения!$C$11</f>
        <v>599181.097532634</v>
      </c>
      <c r="AL87" s="14" t="n">
        <f aca="false">AL82/Допущения!$C$9*Допущения!$C$10+AL82*Допущения!$C$11</f>
        <v>615334.759118991</v>
      </c>
    </row>
    <row r="88" customFormat="false" ht="15" hidden="false" customHeight="false" outlineLevel="0" collapsed="false">
      <c r="A88" s="6" t="s">
        <v>174</v>
      </c>
      <c r="B88" s="3" t="s">
        <v>85</v>
      </c>
      <c r="C88" s="14" t="n">
        <f aca="false">C85*Допущения!$C$8</f>
        <v>10999.8</v>
      </c>
      <c r="D88" s="14" t="n">
        <f aca="false">D85*Допущения!$C$8</f>
        <v>16210.95525</v>
      </c>
      <c r="E88" s="14" t="n">
        <f aca="false">E85*Допущения!$C$8</f>
        <v>23893.42181625</v>
      </c>
      <c r="F88" s="14" t="n">
        <f aca="false">F85*Допущения!$C$8</f>
        <v>52178.3367544687</v>
      </c>
      <c r="G88" s="14" t="n">
        <f aca="false">G85*Допущения!$C$8</f>
        <v>70512.0294648686</v>
      </c>
      <c r="H88" s="14" t="n">
        <f aca="false">H85*Допущения!$C$8</f>
        <v>90729.6364730162</v>
      </c>
      <c r="I88" s="14" t="n">
        <f aca="false">I85*Допущения!$C$8</f>
        <v>112724.949129499</v>
      </c>
      <c r="J88" s="14" t="n">
        <f aca="false">J85*Допущения!$C$8</f>
        <v>77941.0774830564</v>
      </c>
      <c r="K88" s="14" t="n">
        <f aca="false">K85*Допущения!$C$8</f>
        <v>96989.557242543</v>
      </c>
      <c r="L88" s="14" t="n">
        <f aca="false">L85*Допущения!$C$8</f>
        <v>117744.108598949</v>
      </c>
      <c r="M88" s="14" t="n">
        <f aca="false">M85*Допущения!$C$8</f>
        <v>127372.814797986</v>
      </c>
      <c r="N88" s="14" t="n">
        <f aca="false">N85*Допущения!$C$8</f>
        <v>136664.516280056</v>
      </c>
      <c r="O88" s="14" t="n">
        <f aca="false">O85*Допущения!$C$8</f>
        <v>123104.686568203</v>
      </c>
      <c r="P88" s="14" t="n">
        <f aca="false">P85*Допущения!$C$8</f>
        <v>102296.776903737</v>
      </c>
      <c r="Q88" s="14" t="n">
        <f aca="false">Q85*Допущения!$C$8</f>
        <v>111916.149712106</v>
      </c>
      <c r="R88" s="14" t="n">
        <f aca="false">R85*Допущения!$C$8</f>
        <v>201998.074120304</v>
      </c>
      <c r="S88" s="14" t="n">
        <f aca="false">S85*Допущения!$C$8</f>
        <v>238620.515678703</v>
      </c>
      <c r="T88" s="14" t="n">
        <f aca="false">T85*Допущения!$C$8</f>
        <v>277601.844687217</v>
      </c>
      <c r="U88" s="14" t="n">
        <f aca="false">U85*Допущения!$C$8</f>
        <v>318809.075133428</v>
      </c>
      <c r="V88" s="14" t="n">
        <f aca="false">V85*Допущения!$C$8</f>
        <v>206923.223079236</v>
      </c>
      <c r="W88" s="14" t="n">
        <f aca="false">W85*Допущения!$C$8</f>
        <v>244440.664055395</v>
      </c>
      <c r="X88" s="14" t="n">
        <f aca="false">X85*Допущения!$C$8</f>
        <v>284094.312014951</v>
      </c>
      <c r="Y88" s="14" t="n">
        <f aca="false">Y85*Допущения!$C$8</f>
        <v>296150.611094428</v>
      </c>
      <c r="Z88" s="14" t="n">
        <f aca="false">Z85*Допущения!$C$8</f>
        <v>307784.939706123</v>
      </c>
      <c r="AA88" s="14" t="n">
        <f aca="false">AA85*Допущения!$C$8</f>
        <v>261809.533453127</v>
      </c>
      <c r="AB88" s="14" t="n">
        <f aca="false">AB85*Допущения!$C$8</f>
        <v>207634.319836701</v>
      </c>
      <c r="AC88" s="14" t="n">
        <f aca="false">AC85*Допущения!$C$8</f>
        <v>218516.788642416</v>
      </c>
      <c r="AD88" s="14" t="n">
        <f aca="false">AD85*Допущения!$C$8</f>
        <v>381697.285066553</v>
      </c>
      <c r="AE88" s="14" t="n">
        <f aca="false">AE85*Допущения!$C$8</f>
        <v>438446.063098146</v>
      </c>
      <c r="AF88" s="14" t="n">
        <f aca="false">AF85*Допущения!$C$8</f>
        <v>497863.468243321</v>
      </c>
      <c r="AG88" s="14" t="n">
        <f aca="false">AG85*Допущения!$C$8</f>
        <v>559799.052426038</v>
      </c>
      <c r="AH88" s="14" t="n">
        <f aca="false">AH85*Допущения!$C$8</f>
        <v>356634.074209924</v>
      </c>
      <c r="AI88" s="14" t="n">
        <f aca="false">AI85*Допущения!$C$8</f>
        <v>414395.371814149</v>
      </c>
      <c r="AJ88" s="14" t="n">
        <f aca="false">AJ85*Допущения!$C$8</f>
        <v>474573.376445171</v>
      </c>
      <c r="AK88" s="14" t="n">
        <f aca="false">AK85*Допущения!$C$8</f>
        <v>488212.75826959</v>
      </c>
      <c r="AL88" s="14" t="n">
        <f aca="false">AL85*Допущения!$C$8</f>
        <v>501374.761730154</v>
      </c>
    </row>
    <row r="89" customFormat="false" ht="15" hidden="false" customHeight="false" outlineLevel="0" collapsed="false">
      <c r="A89" s="33" t="s">
        <v>175</v>
      </c>
      <c r="B89" s="34" t="s">
        <v>85</v>
      </c>
      <c r="C89" s="35" t="n">
        <f aca="false">C85-C86-C87-C88</f>
        <v>161192.7</v>
      </c>
      <c r="D89" s="35" t="n">
        <f aca="false">D85-D86-D87-D88</f>
        <v>237557.741625</v>
      </c>
      <c r="E89" s="35" t="n">
        <f aca="false">E85-E86-E87-E88</f>
        <v>350137.745668125</v>
      </c>
      <c r="F89" s="35" t="n">
        <f aca="false">F85-F86-F87-F88</f>
        <v>764629.082616234</v>
      </c>
      <c r="G89" s="35" t="n">
        <f aca="false">G85-G86-G87-G88</f>
        <v>1033293.73369713</v>
      </c>
      <c r="H89" s="35" t="n">
        <f aca="false">H85-H86-H87-H88</f>
        <v>1329565.54420116</v>
      </c>
      <c r="I89" s="35" t="n">
        <f aca="false">I85-I86-I87-I88</f>
        <v>1651888.11683363</v>
      </c>
      <c r="J89" s="35" t="n">
        <f aca="false">J85-J86-J87-J88</f>
        <v>1142160.10476582</v>
      </c>
      <c r="K89" s="35" t="n">
        <f aca="false">K85-K86-K87-K88</f>
        <v>1421299.35123639</v>
      </c>
      <c r="L89" s="35" t="n">
        <f aca="false">L85-L86-L87-L88</f>
        <v>1725439.62382569</v>
      </c>
      <c r="M89" s="35" t="n">
        <f aca="false">M85-M86-M87-M88</f>
        <v>1866540.11199179</v>
      </c>
      <c r="N89" s="35" t="n">
        <f aca="false">N85-N86-N87-N88</f>
        <v>2002702.08307208</v>
      </c>
      <c r="O89" s="35" t="n">
        <f aca="false">O85-O86-O87-O88</f>
        <v>1803994.32813164</v>
      </c>
      <c r="P89" s="35" t="n">
        <f aca="false">P85-P86-P87-P88</f>
        <v>1499072.13498528</v>
      </c>
      <c r="Q89" s="35" t="n">
        <f aca="false">Q85-Q86-Q87-Q88</f>
        <v>1640035.85026079</v>
      </c>
      <c r="R89" s="35" t="n">
        <f aca="false">R85-R86-R87-R88</f>
        <v>2960109.72583611</v>
      </c>
      <c r="S89" s="35" t="n">
        <f aca="false">S85-S86-S87-S88</f>
        <v>3496780.41397503</v>
      </c>
      <c r="T89" s="35" t="n">
        <f aca="false">T85-T86-T87-T88</f>
        <v>4068018.58853007</v>
      </c>
      <c r="U89" s="35" t="n">
        <f aca="false">U85-U86-U87-U88</f>
        <v>4671875.45275915</v>
      </c>
      <c r="V89" s="35" t="n">
        <f aca="false">V85-V86-V87-V88</f>
        <v>3032283.58886928</v>
      </c>
      <c r="W89" s="35" t="n">
        <f aca="false">W85-W86-W87-W88</f>
        <v>3582069.73116621</v>
      </c>
      <c r="X89" s="35" t="n">
        <f aca="false">X85-X86-X87-X88</f>
        <v>4163160.16730599</v>
      </c>
      <c r="Y89" s="35" t="n">
        <f aca="false">Y85-Y86-Y87-Y88</f>
        <v>4339834.96145028</v>
      </c>
      <c r="Z89" s="35" t="n">
        <f aca="false">Z85-Z86-Z87-Z88</f>
        <v>4510326.13779952</v>
      </c>
      <c r="AA89" s="35" t="n">
        <f aca="false">AA85-AA86-AA87-AA88</f>
        <v>3836595.71838123</v>
      </c>
      <c r="AB89" s="35" t="n">
        <f aca="false">AB85-AB86-AB87-AB88</f>
        <v>3042704.10617842</v>
      </c>
      <c r="AC89" s="35" t="n">
        <f aca="false">AC85-AC86-AC87-AC88</f>
        <v>3202177.41746217</v>
      </c>
      <c r="AD89" s="35" t="n">
        <f aca="false">AD85-AD86-AD87-AD88</f>
        <v>5593448.60475166</v>
      </c>
      <c r="AE89" s="35" t="n">
        <f aca="false">AE85-AE86-AE87-AE88</f>
        <v>6425053.61144389</v>
      </c>
      <c r="AF89" s="35" t="n">
        <f aca="false">AF85-AF86-AF87-AF88</f>
        <v>7295765.07550184</v>
      </c>
      <c r="AG89" s="35" t="n">
        <f aca="false">AG85-AG86-AG87-AG88</f>
        <v>8203378.30851421</v>
      </c>
      <c r="AH89" s="35" t="n">
        <f aca="false">AH85-AH86-AH87-AH88</f>
        <v>5226168.59705613</v>
      </c>
      <c r="AI89" s="35" t="n">
        <f aca="false">AI85-AI86-AI87-AI88</f>
        <v>6072611.21567906</v>
      </c>
      <c r="AJ89" s="35" t="n">
        <f aca="false">AJ85-AJ86-AJ87-AJ88</f>
        <v>6954468.617367</v>
      </c>
      <c r="AK89" s="35" t="n">
        <f aca="false">AK85-AK86-AK87-AK88</f>
        <v>7154342.14075915</v>
      </c>
      <c r="AL89" s="35" t="n">
        <f aca="false">AL85-AL86-AL87-AL88</f>
        <v>7347220.09083258</v>
      </c>
    </row>
    <row r="90" customFormat="false" ht="15" hidden="false" customHeight="false" outlineLevel="0" collapsed="false">
      <c r="A90" s="6" t="s">
        <v>176</v>
      </c>
      <c r="B90" s="3" t="s">
        <v>82</v>
      </c>
      <c r="C90" s="17" t="n">
        <f aca="false">CHOOSE(C$6,Допущения!$E$38,Допущения!$E$39,Допущения!$E$40)/12</f>
        <v>0.0833333333333333</v>
      </c>
      <c r="D90" s="17" t="n">
        <f aca="false">CHOOSE(D$6,Допущения!$E$38,Допущения!$E$39,Допущения!$E$40)/12</f>
        <v>0.0833333333333333</v>
      </c>
      <c r="E90" s="17" t="n">
        <f aca="false">CHOOSE(E$6,Допущения!$E$38,Допущения!$E$39,Допущения!$E$40)/12</f>
        <v>0.0833333333333333</v>
      </c>
      <c r="F90" s="17" t="n">
        <f aca="false">CHOOSE(F$6,Допущения!$E$38,Допущения!$E$39,Допущения!$E$40)/12</f>
        <v>0.0833333333333333</v>
      </c>
      <c r="G90" s="17" t="n">
        <f aca="false">CHOOSE(G$6,Допущения!$E$38,Допущения!$E$39,Допущения!$E$40)/12</f>
        <v>0.0833333333333333</v>
      </c>
      <c r="H90" s="17" t="n">
        <f aca="false">CHOOSE(H$6,Допущения!$E$38,Допущения!$E$39,Допущения!$E$40)/12</f>
        <v>0.0833333333333333</v>
      </c>
      <c r="I90" s="17" t="n">
        <f aca="false">CHOOSE(I$6,Допущения!$E$38,Допущения!$E$39,Допущения!$E$40)/12</f>
        <v>0.0833333333333333</v>
      </c>
      <c r="J90" s="17" t="n">
        <f aca="false">CHOOSE(J$6,Допущения!$E$38,Допущения!$E$39,Допущения!$E$40)/12</f>
        <v>0.0833333333333333</v>
      </c>
      <c r="K90" s="17" t="n">
        <f aca="false">CHOOSE(K$6,Допущения!$E$38,Допущения!$E$39,Допущения!$E$40)/12</f>
        <v>0.0833333333333333</v>
      </c>
      <c r="L90" s="17" t="n">
        <f aca="false">CHOOSE(L$6,Допущения!$E$38,Допущения!$E$39,Допущения!$E$40)/12</f>
        <v>0.0833333333333333</v>
      </c>
      <c r="M90" s="17" t="n">
        <f aca="false">CHOOSE(M$6,Допущения!$E$38,Допущения!$E$39,Допущения!$E$40)/12</f>
        <v>0.0833333333333333</v>
      </c>
      <c r="N90" s="17" t="n">
        <f aca="false">CHOOSE(N$6,Допущения!$E$38,Допущения!$E$39,Допущения!$E$40)/12</f>
        <v>0.0833333333333333</v>
      </c>
      <c r="O90" s="17" t="n">
        <f aca="false">CHOOSE(O$6,Допущения!$E$38,Допущения!$E$39,Допущения!$E$40)/12</f>
        <v>0.166666666666667</v>
      </c>
      <c r="P90" s="17" t="n">
        <f aca="false">CHOOSE(P$6,Допущения!$E$38,Допущения!$E$39,Допущения!$E$40)/12</f>
        <v>0.166666666666667</v>
      </c>
      <c r="Q90" s="17" t="n">
        <f aca="false">CHOOSE(Q$6,Допущения!$E$38,Допущения!$E$39,Допущения!$E$40)/12</f>
        <v>0.166666666666667</v>
      </c>
      <c r="R90" s="17" t="n">
        <f aca="false">CHOOSE(R$6,Допущения!$E$38,Допущения!$E$39,Допущения!$E$40)/12</f>
        <v>0.166666666666667</v>
      </c>
      <c r="S90" s="17" t="n">
        <f aca="false">CHOOSE(S$6,Допущения!$E$38,Допущения!$E$39,Допущения!$E$40)/12</f>
        <v>0.166666666666667</v>
      </c>
      <c r="T90" s="17" t="n">
        <f aca="false">CHOOSE(T$6,Допущения!$E$38,Допущения!$E$39,Допущения!$E$40)/12</f>
        <v>0.166666666666667</v>
      </c>
      <c r="U90" s="17" t="n">
        <f aca="false">CHOOSE(U$6,Допущения!$E$38,Допущения!$E$39,Допущения!$E$40)/12</f>
        <v>0.166666666666667</v>
      </c>
      <c r="V90" s="17" t="n">
        <f aca="false">CHOOSE(V$6,Допущения!$E$38,Допущения!$E$39,Допущения!$E$40)/12</f>
        <v>0.166666666666667</v>
      </c>
      <c r="W90" s="17" t="n">
        <f aca="false">CHOOSE(W$6,Допущения!$E$38,Допущения!$E$39,Допущения!$E$40)/12</f>
        <v>0.166666666666667</v>
      </c>
      <c r="X90" s="17" t="n">
        <f aca="false">CHOOSE(X$6,Допущения!$E$38,Допущения!$E$39,Допущения!$E$40)/12</f>
        <v>0.166666666666667</v>
      </c>
      <c r="Y90" s="17" t="n">
        <f aca="false">CHOOSE(Y$6,Допущения!$E$38,Допущения!$E$39,Допущения!$E$40)/12</f>
        <v>0.166666666666667</v>
      </c>
      <c r="Z90" s="17" t="n">
        <f aca="false">CHOOSE(Z$6,Допущения!$E$38,Допущения!$E$39,Допущения!$E$40)/12</f>
        <v>0.166666666666667</v>
      </c>
      <c r="AA90" s="17" t="n">
        <f aca="false">CHOOSE(AA$6,Допущения!$E$38,Допущения!$E$39,Допущения!$E$40)/12</f>
        <v>0.333333333333333</v>
      </c>
      <c r="AB90" s="17" t="n">
        <f aca="false">CHOOSE(AB$6,Допущения!$E$38,Допущения!$E$39,Допущения!$E$40)/12</f>
        <v>0.333333333333333</v>
      </c>
      <c r="AC90" s="17" t="n">
        <f aca="false">CHOOSE(AC$6,Допущения!$E$38,Допущения!$E$39,Допущения!$E$40)/12</f>
        <v>0.333333333333333</v>
      </c>
      <c r="AD90" s="17" t="n">
        <f aca="false">CHOOSE(AD$6,Допущения!$E$38,Допущения!$E$39,Допущения!$E$40)/12</f>
        <v>0.333333333333333</v>
      </c>
      <c r="AE90" s="17" t="n">
        <f aca="false">CHOOSE(AE$6,Допущения!$E$38,Допущения!$E$39,Допущения!$E$40)/12</f>
        <v>0.333333333333333</v>
      </c>
      <c r="AF90" s="17" t="n">
        <f aca="false">CHOOSE(AF$6,Допущения!$E$38,Допущения!$E$39,Допущения!$E$40)/12</f>
        <v>0.333333333333333</v>
      </c>
      <c r="AG90" s="17" t="n">
        <f aca="false">CHOOSE(AG$6,Допущения!$E$38,Допущения!$E$39,Допущения!$E$40)/12</f>
        <v>0.333333333333333</v>
      </c>
      <c r="AH90" s="17" t="n">
        <f aca="false">CHOOSE(AH$6,Допущения!$E$38,Допущения!$E$39,Допущения!$E$40)/12</f>
        <v>0.333333333333333</v>
      </c>
      <c r="AI90" s="17" t="n">
        <f aca="false">CHOOSE(AI$6,Допущения!$E$38,Допущения!$E$39,Допущения!$E$40)/12</f>
        <v>0.333333333333333</v>
      </c>
      <c r="AJ90" s="17" t="n">
        <f aca="false">CHOOSE(AJ$6,Допущения!$E$38,Допущения!$E$39,Допущения!$E$40)/12</f>
        <v>0.333333333333333</v>
      </c>
      <c r="AK90" s="17" t="n">
        <f aca="false">CHOOSE(AK$6,Допущения!$E$38,Допущения!$E$39,Допущения!$E$40)/12</f>
        <v>0.333333333333333</v>
      </c>
      <c r="AL90" s="17" t="n">
        <f aca="false">CHOOSE(AL$6,Допущения!$E$38,Допущения!$E$39,Допущения!$E$40)/12</f>
        <v>0.333333333333333</v>
      </c>
    </row>
    <row r="91" customFormat="false" ht="15" hidden="false" customHeight="false" outlineLevel="0" collapsed="false">
      <c r="A91" s="6" t="s">
        <v>177</v>
      </c>
      <c r="B91" s="3" t="s">
        <v>82</v>
      </c>
      <c r="C91" s="14" t="n">
        <f aca="false">C90*Допущения!$E$41</f>
        <v>1000</v>
      </c>
      <c r="D91" s="14" t="n">
        <f aca="false">D90*Допущения!$E$41</f>
        <v>1000</v>
      </c>
      <c r="E91" s="14" t="n">
        <f aca="false">E90*Допущения!$E$41</f>
        <v>1000</v>
      </c>
      <c r="F91" s="14" t="n">
        <f aca="false">F90*Допущения!$E$41</f>
        <v>1000</v>
      </c>
      <c r="G91" s="14" t="n">
        <f aca="false">G90*Допущения!$E$41</f>
        <v>1000</v>
      </c>
      <c r="H91" s="14" t="n">
        <f aca="false">H90*Допущения!$E$41</f>
        <v>1000</v>
      </c>
      <c r="I91" s="14" t="n">
        <f aca="false">I90*Допущения!$E$41</f>
        <v>1000</v>
      </c>
      <c r="J91" s="14" t="n">
        <f aca="false">J90*Допущения!$E$41</f>
        <v>1000</v>
      </c>
      <c r="K91" s="14" t="n">
        <f aca="false">K90*Допущения!$E$41</f>
        <v>1000</v>
      </c>
      <c r="L91" s="14" t="n">
        <f aca="false">L90*Допущения!$E$41</f>
        <v>1000</v>
      </c>
      <c r="M91" s="14" t="n">
        <f aca="false">M90*Допущения!$E$41</f>
        <v>1000</v>
      </c>
      <c r="N91" s="14" t="n">
        <f aca="false">N90*Допущения!$E$41</f>
        <v>1000</v>
      </c>
      <c r="O91" s="14" t="n">
        <f aca="false">O90*Допущения!$E$41</f>
        <v>2000</v>
      </c>
      <c r="P91" s="14" t="n">
        <f aca="false">P90*Допущения!$E$41</f>
        <v>2000</v>
      </c>
      <c r="Q91" s="14" t="n">
        <f aca="false">Q90*Допущения!$E$41</f>
        <v>2000</v>
      </c>
      <c r="R91" s="14" t="n">
        <f aca="false">R90*Допущения!$E$41</f>
        <v>2000</v>
      </c>
      <c r="S91" s="14" t="n">
        <f aca="false">S90*Допущения!$E$41</f>
        <v>2000</v>
      </c>
      <c r="T91" s="14" t="n">
        <f aca="false">T90*Допущения!$E$41</f>
        <v>2000</v>
      </c>
      <c r="U91" s="14" t="n">
        <f aca="false">U90*Допущения!$E$41</f>
        <v>2000</v>
      </c>
      <c r="V91" s="14" t="n">
        <f aca="false">V90*Допущения!$E$41</f>
        <v>2000</v>
      </c>
      <c r="W91" s="14" t="n">
        <f aca="false">W90*Допущения!$E$41</f>
        <v>2000</v>
      </c>
      <c r="X91" s="14" t="n">
        <f aca="false">X90*Допущения!$E$41</f>
        <v>2000</v>
      </c>
      <c r="Y91" s="14" t="n">
        <f aca="false">Y90*Допущения!$E$41</f>
        <v>2000</v>
      </c>
      <c r="Z91" s="14" t="n">
        <f aca="false">Z90*Допущения!$E$41</f>
        <v>2000</v>
      </c>
      <c r="AA91" s="14" t="n">
        <f aca="false">AA90*Допущения!$E$41</f>
        <v>4000</v>
      </c>
      <c r="AB91" s="14" t="n">
        <f aca="false">AB90*Допущения!$E$41</f>
        <v>4000</v>
      </c>
      <c r="AC91" s="14" t="n">
        <f aca="false">AC90*Допущения!$E$41</f>
        <v>4000</v>
      </c>
      <c r="AD91" s="14" t="n">
        <f aca="false">AD90*Допущения!$E$41</f>
        <v>4000</v>
      </c>
      <c r="AE91" s="14" t="n">
        <f aca="false">AE90*Допущения!$E$41</f>
        <v>4000</v>
      </c>
      <c r="AF91" s="14" t="n">
        <f aca="false">AF90*Допущения!$E$41</f>
        <v>4000</v>
      </c>
      <c r="AG91" s="14" t="n">
        <f aca="false">AG90*Допущения!$E$41</f>
        <v>4000</v>
      </c>
      <c r="AH91" s="14" t="n">
        <f aca="false">AH90*Допущения!$E$41</f>
        <v>4000</v>
      </c>
      <c r="AI91" s="14" t="n">
        <f aca="false">AI90*Допущения!$E$41</f>
        <v>4000</v>
      </c>
      <c r="AJ91" s="14" t="n">
        <f aca="false">AJ90*Допущения!$E$41</f>
        <v>4000</v>
      </c>
      <c r="AK91" s="14" t="n">
        <f aca="false">AK90*Допущения!$E$41</f>
        <v>4000</v>
      </c>
      <c r="AL91" s="14" t="n">
        <f aca="false">AL90*Допущения!$E$41</f>
        <v>4000</v>
      </c>
    </row>
    <row r="92" customFormat="false" ht="15" hidden="false" customHeight="false" outlineLevel="0" collapsed="false">
      <c r="A92" s="6" t="s">
        <v>178</v>
      </c>
      <c r="B92" s="3" t="s">
        <v>82</v>
      </c>
      <c r="C92" s="14" t="n">
        <f aca="false">C91*(1-Допущения!$C$12)</f>
        <v>900</v>
      </c>
      <c r="D92" s="14" t="n">
        <f aca="false">D91*(1-Допущения!$C$12)</f>
        <v>900</v>
      </c>
      <c r="E92" s="14" t="n">
        <f aca="false">E91*(1-Допущения!$C$12)</f>
        <v>900</v>
      </c>
      <c r="F92" s="14" t="n">
        <f aca="false">F91*(1-Допущения!$C$12)</f>
        <v>900</v>
      </c>
      <c r="G92" s="14" t="n">
        <f aca="false">G91*(1-Допущения!$C$12)</f>
        <v>900</v>
      </c>
      <c r="H92" s="14" t="n">
        <f aca="false">H91*(1-Допущения!$C$12)</f>
        <v>900</v>
      </c>
      <c r="I92" s="14" t="n">
        <f aca="false">I91*(1-Допущения!$C$12)</f>
        <v>900</v>
      </c>
      <c r="J92" s="14" t="n">
        <f aca="false">J91*(1-Допущения!$C$12)</f>
        <v>900</v>
      </c>
      <c r="K92" s="14" t="n">
        <f aca="false">K91*(1-Допущения!$C$12)</f>
        <v>900</v>
      </c>
      <c r="L92" s="14" t="n">
        <f aca="false">L91*(1-Допущения!$C$12)</f>
        <v>900</v>
      </c>
      <c r="M92" s="14" t="n">
        <f aca="false">M91*(1-Допущения!$C$12)</f>
        <v>900</v>
      </c>
      <c r="N92" s="14" t="n">
        <f aca="false">N91*(1-Допущения!$C$12)</f>
        <v>900</v>
      </c>
      <c r="O92" s="14" t="n">
        <f aca="false">O91*(1-Допущения!$C$12)</f>
        <v>1800</v>
      </c>
      <c r="P92" s="14" t="n">
        <f aca="false">P91*(1-Допущения!$C$12)</f>
        <v>1800</v>
      </c>
      <c r="Q92" s="14" t="n">
        <f aca="false">Q91*(1-Допущения!$C$12)</f>
        <v>1800</v>
      </c>
      <c r="R92" s="14" t="n">
        <f aca="false">R91*(1-Допущения!$C$12)</f>
        <v>1800</v>
      </c>
      <c r="S92" s="14" t="n">
        <f aca="false">S91*(1-Допущения!$C$12)</f>
        <v>1800</v>
      </c>
      <c r="T92" s="14" t="n">
        <f aca="false">T91*(1-Допущения!$C$12)</f>
        <v>1800</v>
      </c>
      <c r="U92" s="14" t="n">
        <f aca="false">U91*(1-Допущения!$C$12)</f>
        <v>1800</v>
      </c>
      <c r="V92" s="14" t="n">
        <f aca="false">V91*(1-Допущения!$C$12)</f>
        <v>1800</v>
      </c>
      <c r="W92" s="14" t="n">
        <f aca="false">W91*(1-Допущения!$C$12)</f>
        <v>1800</v>
      </c>
      <c r="X92" s="14" t="n">
        <f aca="false">X91*(1-Допущения!$C$12)</f>
        <v>1800</v>
      </c>
      <c r="Y92" s="14" t="n">
        <f aca="false">Y91*(1-Допущения!$C$12)</f>
        <v>1800</v>
      </c>
      <c r="Z92" s="14" t="n">
        <f aca="false">Z91*(1-Допущения!$C$12)</f>
        <v>1800</v>
      </c>
      <c r="AA92" s="14" t="n">
        <f aca="false">AA91*(1-Допущения!$C$12)</f>
        <v>3600</v>
      </c>
      <c r="AB92" s="14" t="n">
        <f aca="false">AB91*(1-Допущения!$C$12)</f>
        <v>3600</v>
      </c>
      <c r="AC92" s="14" t="n">
        <f aca="false">AC91*(1-Допущения!$C$12)</f>
        <v>3600</v>
      </c>
      <c r="AD92" s="14" t="n">
        <f aca="false">AD91*(1-Допущения!$C$12)</f>
        <v>3600</v>
      </c>
      <c r="AE92" s="14" t="n">
        <f aca="false">AE91*(1-Допущения!$C$12)</f>
        <v>3600</v>
      </c>
      <c r="AF92" s="14" t="n">
        <f aca="false">AF91*(1-Допущения!$C$12)</f>
        <v>3600</v>
      </c>
      <c r="AG92" s="14" t="n">
        <f aca="false">AG91*(1-Допущения!$C$12)</f>
        <v>3600</v>
      </c>
      <c r="AH92" s="14" t="n">
        <f aca="false">AH91*(1-Допущения!$C$12)</f>
        <v>3600</v>
      </c>
      <c r="AI92" s="14" t="n">
        <f aca="false">AI91*(1-Допущения!$C$12)</f>
        <v>3600</v>
      </c>
      <c r="AJ92" s="14" t="n">
        <f aca="false">AJ91*(1-Допущения!$C$12)</f>
        <v>3600</v>
      </c>
      <c r="AK92" s="14" t="n">
        <f aca="false">AK91*(1-Допущения!$C$12)</f>
        <v>3600</v>
      </c>
      <c r="AL92" s="14" t="n">
        <f aca="false">AL91*(1-Допущения!$C$12)</f>
        <v>3600</v>
      </c>
    </row>
    <row r="93" customFormat="false" ht="15" hidden="false" customHeight="false" outlineLevel="0" collapsed="false">
      <c r="A93" s="6" t="s">
        <v>179</v>
      </c>
      <c r="B93" s="3" t="s">
        <v>85</v>
      </c>
      <c r="C93" s="14" t="n">
        <f aca="false">C92*Допущения!$E$42</f>
        <v>18000000</v>
      </c>
      <c r="D93" s="14" t="n">
        <f aca="false">D92*Допущения!$E$42</f>
        <v>18000000</v>
      </c>
      <c r="E93" s="14" t="n">
        <f aca="false">E92*Допущения!$E$42</f>
        <v>18000000</v>
      </c>
      <c r="F93" s="14" t="n">
        <f aca="false">F92*Допущения!$E$42</f>
        <v>18000000</v>
      </c>
      <c r="G93" s="14" t="n">
        <f aca="false">G92*Допущения!$E$42</f>
        <v>18000000</v>
      </c>
      <c r="H93" s="14" t="n">
        <f aca="false">H92*Допущения!$E$42</f>
        <v>18000000</v>
      </c>
      <c r="I93" s="14" t="n">
        <f aca="false">I92*Допущения!$E$42</f>
        <v>18000000</v>
      </c>
      <c r="J93" s="14" t="n">
        <f aca="false">J92*Допущения!$E$42</f>
        <v>18000000</v>
      </c>
      <c r="K93" s="14" t="n">
        <f aca="false">K92*Допущения!$E$42</f>
        <v>18000000</v>
      </c>
      <c r="L93" s="14" t="n">
        <f aca="false">L92*Допущения!$E$42</f>
        <v>18000000</v>
      </c>
      <c r="M93" s="14" t="n">
        <f aca="false">M92*Допущения!$E$42</f>
        <v>18000000</v>
      </c>
      <c r="N93" s="14" t="n">
        <f aca="false">N92*Допущения!$E$42</f>
        <v>18000000</v>
      </c>
      <c r="O93" s="14" t="n">
        <f aca="false">O92*Допущения!$E$42</f>
        <v>36000000</v>
      </c>
      <c r="P93" s="14" t="n">
        <f aca="false">P92*Допущения!$E$42</f>
        <v>36000000</v>
      </c>
      <c r="Q93" s="14" t="n">
        <f aca="false">Q92*Допущения!$E$42</f>
        <v>36000000</v>
      </c>
      <c r="R93" s="14" t="n">
        <f aca="false">R92*Допущения!$E$42</f>
        <v>36000000</v>
      </c>
      <c r="S93" s="14" t="n">
        <f aca="false">S92*Допущения!$E$42</f>
        <v>36000000</v>
      </c>
      <c r="T93" s="14" t="n">
        <f aca="false">T92*Допущения!$E$42</f>
        <v>36000000</v>
      </c>
      <c r="U93" s="14" t="n">
        <f aca="false">U92*Допущения!$E$42</f>
        <v>36000000</v>
      </c>
      <c r="V93" s="14" t="n">
        <f aca="false">V92*Допущения!$E$42</f>
        <v>36000000</v>
      </c>
      <c r="W93" s="14" t="n">
        <f aca="false">W92*Допущения!$E$42</f>
        <v>36000000</v>
      </c>
      <c r="X93" s="14" t="n">
        <f aca="false">X92*Допущения!$E$42</f>
        <v>36000000</v>
      </c>
      <c r="Y93" s="14" t="n">
        <f aca="false">Y92*Допущения!$E$42</f>
        <v>36000000</v>
      </c>
      <c r="Z93" s="14" t="n">
        <f aca="false">Z92*Допущения!$E$42</f>
        <v>36000000</v>
      </c>
      <c r="AA93" s="14" t="n">
        <f aca="false">AA92*Допущения!$E$42</f>
        <v>72000000</v>
      </c>
      <c r="AB93" s="14" t="n">
        <f aca="false">AB92*Допущения!$E$42</f>
        <v>72000000</v>
      </c>
      <c r="AC93" s="14" t="n">
        <f aca="false">AC92*Допущения!$E$42</f>
        <v>72000000</v>
      </c>
      <c r="AD93" s="14" t="n">
        <f aca="false">AD92*Допущения!$E$42</f>
        <v>72000000</v>
      </c>
      <c r="AE93" s="14" t="n">
        <f aca="false">AE92*Допущения!$E$42</f>
        <v>72000000</v>
      </c>
      <c r="AF93" s="14" t="n">
        <f aca="false">AF92*Допущения!$E$42</f>
        <v>72000000</v>
      </c>
      <c r="AG93" s="14" t="n">
        <f aca="false">AG92*Допущения!$E$42</f>
        <v>72000000</v>
      </c>
      <c r="AH93" s="14" t="n">
        <f aca="false">AH92*Допущения!$E$42</f>
        <v>72000000</v>
      </c>
      <c r="AI93" s="14" t="n">
        <f aca="false">AI92*Допущения!$E$42</f>
        <v>72000000</v>
      </c>
      <c r="AJ93" s="14" t="n">
        <f aca="false">AJ92*Допущения!$E$42</f>
        <v>72000000</v>
      </c>
      <c r="AK93" s="14" t="n">
        <f aca="false">AK92*Допущения!$E$42</f>
        <v>72000000</v>
      </c>
      <c r="AL93" s="14" t="n">
        <f aca="false">AL92*Допущения!$E$42</f>
        <v>72000000</v>
      </c>
    </row>
    <row r="94" customFormat="false" ht="15" hidden="false" customHeight="false" outlineLevel="0" collapsed="false">
      <c r="A94" s="6" t="s">
        <v>180</v>
      </c>
      <c r="B94" s="3" t="s">
        <v>85</v>
      </c>
      <c r="C94" s="14" t="n">
        <f aca="false">C93*(Допущения!$C$6+Допущения!$C$7)*(1-Допущения!$C$13)</f>
        <v>873000</v>
      </c>
      <c r="D94" s="14" t="n">
        <f aca="false">D93*(Допущения!$C$6+Допущения!$C$7)*(1-Допущения!$C$13)</f>
        <v>873000</v>
      </c>
      <c r="E94" s="14" t="n">
        <f aca="false">E93*(Допущения!$C$6+Допущения!$C$7)*(1-Допущения!$C$13)</f>
        <v>873000</v>
      </c>
      <c r="F94" s="14" t="n">
        <f aca="false">F93*(Допущения!$C$6+Допущения!$C$7)*(1-Допущения!$C$13)</f>
        <v>873000</v>
      </c>
      <c r="G94" s="14" t="n">
        <f aca="false">G93*(Допущения!$C$6+Допущения!$C$7)*(1-Допущения!$C$13)</f>
        <v>873000</v>
      </c>
      <c r="H94" s="14" t="n">
        <f aca="false">H93*(Допущения!$C$6+Допущения!$C$7)*(1-Допущения!$C$13)</f>
        <v>873000</v>
      </c>
      <c r="I94" s="14" t="n">
        <f aca="false">I93*(Допущения!$C$6+Допущения!$C$7)*(1-Допущения!$C$13)</f>
        <v>873000</v>
      </c>
      <c r="J94" s="14" t="n">
        <f aca="false">J93*(Допущения!$C$6+Допущения!$C$7)*(1-Допущения!$C$13)</f>
        <v>873000</v>
      </c>
      <c r="K94" s="14" t="n">
        <f aca="false">K93*(Допущения!$C$6+Допущения!$C$7)*(1-Допущения!$C$13)</f>
        <v>873000</v>
      </c>
      <c r="L94" s="14" t="n">
        <f aca="false">L93*(Допущения!$C$6+Допущения!$C$7)*(1-Допущения!$C$13)</f>
        <v>873000</v>
      </c>
      <c r="M94" s="14" t="n">
        <f aca="false">M93*(Допущения!$C$6+Допущения!$C$7)*(1-Допущения!$C$13)</f>
        <v>873000</v>
      </c>
      <c r="N94" s="14" t="n">
        <f aca="false">N93*(Допущения!$C$6+Допущения!$C$7)*(1-Допущения!$C$13)</f>
        <v>873000</v>
      </c>
      <c r="O94" s="14" t="n">
        <f aca="false">O93*(Допущения!$C$6+Допущения!$C$7)*(1-Допущения!$C$13)</f>
        <v>1746000</v>
      </c>
      <c r="P94" s="14" t="n">
        <f aca="false">P93*(Допущения!$C$6+Допущения!$C$7)*(1-Допущения!$C$13)</f>
        <v>1746000</v>
      </c>
      <c r="Q94" s="14" t="n">
        <f aca="false">Q93*(Допущения!$C$6+Допущения!$C$7)*(1-Допущения!$C$13)</f>
        <v>1746000</v>
      </c>
      <c r="R94" s="14" t="n">
        <f aca="false">R93*(Допущения!$C$6+Допущения!$C$7)*(1-Допущения!$C$13)</f>
        <v>1746000</v>
      </c>
      <c r="S94" s="14" t="n">
        <f aca="false">S93*(Допущения!$C$6+Допущения!$C$7)*(1-Допущения!$C$13)</f>
        <v>1746000</v>
      </c>
      <c r="T94" s="14" t="n">
        <f aca="false">T93*(Допущения!$C$6+Допущения!$C$7)*(1-Допущения!$C$13)</f>
        <v>1746000</v>
      </c>
      <c r="U94" s="14" t="n">
        <f aca="false">U93*(Допущения!$C$6+Допущения!$C$7)*(1-Допущения!$C$13)</f>
        <v>1746000</v>
      </c>
      <c r="V94" s="14" t="n">
        <f aca="false">V93*(Допущения!$C$6+Допущения!$C$7)*(1-Допущения!$C$13)</f>
        <v>1746000</v>
      </c>
      <c r="W94" s="14" t="n">
        <f aca="false">W93*(Допущения!$C$6+Допущения!$C$7)*(1-Допущения!$C$13)</f>
        <v>1746000</v>
      </c>
      <c r="X94" s="14" t="n">
        <f aca="false">X93*(Допущения!$C$6+Допущения!$C$7)*(1-Допущения!$C$13)</f>
        <v>1746000</v>
      </c>
      <c r="Y94" s="14" t="n">
        <f aca="false">Y93*(Допущения!$C$6+Допущения!$C$7)*(1-Допущения!$C$13)</f>
        <v>1746000</v>
      </c>
      <c r="Z94" s="14" t="n">
        <f aca="false">Z93*(Допущения!$C$6+Допущения!$C$7)*(1-Допущения!$C$13)</f>
        <v>1746000</v>
      </c>
      <c r="AA94" s="14" t="n">
        <f aca="false">AA93*(Допущения!$C$6+Допущения!$C$7)*(1-Допущения!$C$13)</f>
        <v>3492000</v>
      </c>
      <c r="AB94" s="14" t="n">
        <f aca="false">AB93*(Допущения!$C$6+Допущения!$C$7)*(1-Допущения!$C$13)</f>
        <v>3492000</v>
      </c>
      <c r="AC94" s="14" t="n">
        <f aca="false">AC93*(Допущения!$C$6+Допущения!$C$7)*(1-Допущения!$C$13)</f>
        <v>3492000</v>
      </c>
      <c r="AD94" s="14" t="n">
        <f aca="false">AD93*(Допущения!$C$6+Допущения!$C$7)*(1-Допущения!$C$13)</f>
        <v>3492000</v>
      </c>
      <c r="AE94" s="14" t="n">
        <f aca="false">AE93*(Допущения!$C$6+Допущения!$C$7)*(1-Допущения!$C$13)</f>
        <v>3492000</v>
      </c>
      <c r="AF94" s="14" t="n">
        <f aca="false">AF93*(Допущения!$C$6+Допущения!$C$7)*(1-Допущения!$C$13)</f>
        <v>3492000</v>
      </c>
      <c r="AG94" s="14" t="n">
        <f aca="false">AG93*(Допущения!$C$6+Допущения!$C$7)*(1-Допущения!$C$13)</f>
        <v>3492000</v>
      </c>
      <c r="AH94" s="14" t="n">
        <f aca="false">AH93*(Допущения!$C$6+Допущения!$C$7)*(1-Допущения!$C$13)</f>
        <v>3492000</v>
      </c>
      <c r="AI94" s="14" t="n">
        <f aca="false">AI93*(Допущения!$C$6+Допущения!$C$7)*(1-Допущения!$C$13)</f>
        <v>3492000</v>
      </c>
      <c r="AJ94" s="14" t="n">
        <f aca="false">AJ93*(Допущения!$C$6+Допущения!$C$7)*(1-Допущения!$C$13)</f>
        <v>3492000</v>
      </c>
      <c r="AK94" s="14" t="n">
        <f aca="false">AK93*(Допущения!$C$6+Допущения!$C$7)*(1-Допущения!$C$13)</f>
        <v>3492000</v>
      </c>
      <c r="AL94" s="14" t="n">
        <f aca="false">AL93*(Допущения!$C$6+Допущения!$C$7)*(1-Допущения!$C$13)</f>
        <v>3492000</v>
      </c>
    </row>
    <row r="95" customFormat="false" ht="15" hidden="false" customHeight="false" outlineLevel="0" collapsed="false">
      <c r="A95" s="6" t="s">
        <v>181</v>
      </c>
      <c r="B95" s="3" t="s">
        <v>85</v>
      </c>
      <c r="C95" s="14" t="n">
        <f aca="false">C93*(1+Допущения!$C$6)*Допущения!$E$23</f>
        <v>283500</v>
      </c>
      <c r="D95" s="14" t="n">
        <f aca="false">D93*(1+Допущения!$C$6)*Допущения!$E$23</f>
        <v>283500</v>
      </c>
      <c r="E95" s="14" t="n">
        <f aca="false">E93*(1+Допущения!$C$6)*Допущения!$E$23</f>
        <v>283500</v>
      </c>
      <c r="F95" s="14" t="n">
        <f aca="false">F93*(1+Допущения!$C$6)*Допущения!$E$23</f>
        <v>283500</v>
      </c>
      <c r="G95" s="14" t="n">
        <f aca="false">G93*(1+Допущения!$C$6)*Допущения!$E$23</f>
        <v>283500</v>
      </c>
      <c r="H95" s="14" t="n">
        <f aca="false">H93*(1+Допущения!$C$6)*Допущения!$E$23</f>
        <v>283500</v>
      </c>
      <c r="I95" s="14" t="n">
        <f aca="false">I93*(1+Допущения!$C$6)*Допущения!$E$23</f>
        <v>283500</v>
      </c>
      <c r="J95" s="14" t="n">
        <f aca="false">J93*(1+Допущения!$C$6)*Допущения!$E$23</f>
        <v>283500</v>
      </c>
      <c r="K95" s="14" t="n">
        <f aca="false">K93*(1+Допущения!$C$6)*Допущения!$E$23</f>
        <v>283500</v>
      </c>
      <c r="L95" s="14" t="n">
        <f aca="false">L93*(1+Допущения!$C$6)*Допущения!$E$23</f>
        <v>283500</v>
      </c>
      <c r="M95" s="14" t="n">
        <f aca="false">M93*(1+Допущения!$C$6)*Допущения!$E$23</f>
        <v>283500</v>
      </c>
      <c r="N95" s="14" t="n">
        <f aca="false">N93*(1+Допущения!$C$6)*Допущения!$E$23</f>
        <v>283500</v>
      </c>
      <c r="O95" s="14" t="n">
        <f aca="false">O93*(1+Допущения!$C$6)*Допущения!$E$23</f>
        <v>567000</v>
      </c>
      <c r="P95" s="14" t="n">
        <f aca="false">P93*(1+Допущения!$C$6)*Допущения!$E$23</f>
        <v>567000</v>
      </c>
      <c r="Q95" s="14" t="n">
        <f aca="false">Q93*(1+Допущения!$C$6)*Допущения!$E$23</f>
        <v>567000</v>
      </c>
      <c r="R95" s="14" t="n">
        <f aca="false">R93*(1+Допущения!$C$6)*Допущения!$E$23</f>
        <v>567000</v>
      </c>
      <c r="S95" s="14" t="n">
        <f aca="false">S93*(1+Допущения!$C$6)*Допущения!$E$23</f>
        <v>567000</v>
      </c>
      <c r="T95" s="14" t="n">
        <f aca="false">T93*(1+Допущения!$C$6)*Допущения!$E$23</f>
        <v>567000</v>
      </c>
      <c r="U95" s="14" t="n">
        <f aca="false">U93*(1+Допущения!$C$6)*Допущения!$E$23</f>
        <v>567000</v>
      </c>
      <c r="V95" s="14" t="n">
        <f aca="false">V93*(1+Допущения!$C$6)*Допущения!$E$23</f>
        <v>567000</v>
      </c>
      <c r="W95" s="14" t="n">
        <f aca="false">W93*(1+Допущения!$C$6)*Допущения!$E$23</f>
        <v>567000</v>
      </c>
      <c r="X95" s="14" t="n">
        <f aca="false">X93*(1+Допущения!$C$6)*Допущения!$E$23</f>
        <v>567000</v>
      </c>
      <c r="Y95" s="14" t="n">
        <f aca="false">Y93*(1+Допущения!$C$6)*Допущения!$E$23</f>
        <v>567000</v>
      </c>
      <c r="Z95" s="14" t="n">
        <f aca="false">Z93*(1+Допущения!$C$6)*Допущения!$E$23</f>
        <v>567000</v>
      </c>
      <c r="AA95" s="14" t="n">
        <f aca="false">AA93*(1+Допущения!$C$6)*Допущения!$E$23</f>
        <v>1134000</v>
      </c>
      <c r="AB95" s="14" t="n">
        <f aca="false">AB93*(1+Допущения!$C$6)*Допущения!$E$23</f>
        <v>1134000</v>
      </c>
      <c r="AC95" s="14" t="n">
        <f aca="false">AC93*(1+Допущения!$C$6)*Допущения!$E$23</f>
        <v>1134000</v>
      </c>
      <c r="AD95" s="14" t="n">
        <f aca="false">AD93*(1+Допущения!$C$6)*Допущения!$E$23</f>
        <v>1134000</v>
      </c>
      <c r="AE95" s="14" t="n">
        <f aca="false">AE93*(1+Допущения!$C$6)*Допущения!$E$23</f>
        <v>1134000</v>
      </c>
      <c r="AF95" s="14" t="n">
        <f aca="false">AF93*(1+Допущения!$C$6)*Допущения!$E$23</f>
        <v>1134000</v>
      </c>
      <c r="AG95" s="14" t="n">
        <f aca="false">AG93*(1+Допущения!$C$6)*Допущения!$E$23</f>
        <v>1134000</v>
      </c>
      <c r="AH95" s="14" t="n">
        <f aca="false">AH93*(1+Допущения!$C$6)*Допущения!$E$23</f>
        <v>1134000</v>
      </c>
      <c r="AI95" s="14" t="n">
        <f aca="false">AI93*(1+Допущения!$C$6)*Допущения!$E$23</f>
        <v>1134000</v>
      </c>
      <c r="AJ95" s="14" t="n">
        <f aca="false">AJ93*(1+Допущения!$C$6)*Допущения!$E$23</f>
        <v>1134000</v>
      </c>
      <c r="AK95" s="14" t="n">
        <f aca="false">AK93*(1+Допущения!$C$6)*Допущения!$E$23</f>
        <v>1134000</v>
      </c>
      <c r="AL95" s="14" t="n">
        <f aca="false">AL93*(1+Допущения!$C$6)*Допущения!$E$23</f>
        <v>1134000</v>
      </c>
    </row>
    <row r="96" customFormat="false" ht="15" hidden="false" customHeight="false" outlineLevel="0" collapsed="false">
      <c r="A96" s="6" t="s">
        <v>182</v>
      </c>
      <c r="B96" s="3" t="s">
        <v>85</v>
      </c>
      <c r="C96" s="14" t="n">
        <f aca="false">C91/Допущения!$C$9*Допущения!$C$10+C91*Допущения!$C$11</f>
        <v>15000</v>
      </c>
      <c r="D96" s="14" t="n">
        <f aca="false">D91/Допущения!$C$9*Допущения!$C$10+D91*Допущения!$C$11</f>
        <v>15000</v>
      </c>
      <c r="E96" s="14" t="n">
        <f aca="false">E91/Допущения!$C$9*Допущения!$C$10+E91*Допущения!$C$11</f>
        <v>15000</v>
      </c>
      <c r="F96" s="14" t="n">
        <f aca="false">F91/Допущения!$C$9*Допущения!$C$10+F91*Допущения!$C$11</f>
        <v>15000</v>
      </c>
      <c r="G96" s="14" t="n">
        <f aca="false">G91/Допущения!$C$9*Допущения!$C$10+G91*Допущения!$C$11</f>
        <v>15000</v>
      </c>
      <c r="H96" s="14" t="n">
        <f aca="false">H91/Допущения!$C$9*Допущения!$C$10+H91*Допущения!$C$11</f>
        <v>15000</v>
      </c>
      <c r="I96" s="14" t="n">
        <f aca="false">I91/Допущения!$C$9*Допущения!$C$10+I91*Допущения!$C$11</f>
        <v>15000</v>
      </c>
      <c r="J96" s="14" t="n">
        <f aca="false">J91/Допущения!$C$9*Допущения!$C$10+J91*Допущения!$C$11</f>
        <v>15000</v>
      </c>
      <c r="K96" s="14" t="n">
        <f aca="false">K91/Допущения!$C$9*Допущения!$C$10+K91*Допущения!$C$11</f>
        <v>15000</v>
      </c>
      <c r="L96" s="14" t="n">
        <f aca="false">L91/Допущения!$C$9*Допущения!$C$10+L91*Допущения!$C$11</f>
        <v>15000</v>
      </c>
      <c r="M96" s="14" t="n">
        <f aca="false">M91/Допущения!$C$9*Допущения!$C$10+M91*Допущения!$C$11</f>
        <v>15000</v>
      </c>
      <c r="N96" s="14" t="n">
        <f aca="false">N91/Допущения!$C$9*Допущения!$C$10+N91*Допущения!$C$11</f>
        <v>15000</v>
      </c>
      <c r="O96" s="14" t="n">
        <f aca="false">O91/Допущения!$C$9*Допущения!$C$10+O91*Допущения!$C$11</f>
        <v>30000</v>
      </c>
      <c r="P96" s="14" t="n">
        <f aca="false">P91/Допущения!$C$9*Допущения!$C$10+P91*Допущения!$C$11</f>
        <v>30000</v>
      </c>
      <c r="Q96" s="14" t="n">
        <f aca="false">Q91/Допущения!$C$9*Допущения!$C$10+Q91*Допущения!$C$11</f>
        <v>30000</v>
      </c>
      <c r="R96" s="14" t="n">
        <f aca="false">R91/Допущения!$C$9*Допущения!$C$10+R91*Допущения!$C$11</f>
        <v>30000</v>
      </c>
      <c r="S96" s="14" t="n">
        <f aca="false">S91/Допущения!$C$9*Допущения!$C$10+S91*Допущения!$C$11</f>
        <v>30000</v>
      </c>
      <c r="T96" s="14" t="n">
        <f aca="false">T91/Допущения!$C$9*Допущения!$C$10+T91*Допущения!$C$11</f>
        <v>30000</v>
      </c>
      <c r="U96" s="14" t="n">
        <f aca="false">U91/Допущения!$C$9*Допущения!$C$10+U91*Допущения!$C$11</f>
        <v>30000</v>
      </c>
      <c r="V96" s="14" t="n">
        <f aca="false">V91/Допущения!$C$9*Допущения!$C$10+V91*Допущения!$C$11</f>
        <v>30000</v>
      </c>
      <c r="W96" s="14" t="n">
        <f aca="false">W91/Допущения!$C$9*Допущения!$C$10+W91*Допущения!$C$11</f>
        <v>30000</v>
      </c>
      <c r="X96" s="14" t="n">
        <f aca="false">X91/Допущения!$C$9*Допущения!$C$10+X91*Допущения!$C$11</f>
        <v>30000</v>
      </c>
      <c r="Y96" s="14" t="n">
        <f aca="false">Y91/Допущения!$C$9*Допущения!$C$10+Y91*Допущения!$C$11</f>
        <v>30000</v>
      </c>
      <c r="Z96" s="14" t="n">
        <f aca="false">Z91/Допущения!$C$9*Допущения!$C$10+Z91*Допущения!$C$11</f>
        <v>30000</v>
      </c>
      <c r="AA96" s="14" t="n">
        <f aca="false">AA91/Допущения!$C$9*Допущения!$C$10+AA91*Допущения!$C$11</f>
        <v>60000</v>
      </c>
      <c r="AB96" s="14" t="n">
        <f aca="false">AB91/Допущения!$C$9*Допущения!$C$10+AB91*Допущения!$C$11</f>
        <v>60000</v>
      </c>
      <c r="AC96" s="14" t="n">
        <f aca="false">AC91/Допущения!$C$9*Допущения!$C$10+AC91*Допущения!$C$11</f>
        <v>60000</v>
      </c>
      <c r="AD96" s="14" t="n">
        <f aca="false">AD91/Допущения!$C$9*Допущения!$C$10+AD91*Допущения!$C$11</f>
        <v>60000</v>
      </c>
      <c r="AE96" s="14" t="n">
        <f aca="false">AE91/Допущения!$C$9*Допущения!$C$10+AE91*Допущения!$C$11</f>
        <v>60000</v>
      </c>
      <c r="AF96" s="14" t="n">
        <f aca="false">AF91/Допущения!$C$9*Допущения!$C$10+AF91*Допущения!$C$11</f>
        <v>60000</v>
      </c>
      <c r="AG96" s="14" t="n">
        <f aca="false">AG91/Допущения!$C$9*Допущения!$C$10+AG91*Допущения!$C$11</f>
        <v>60000</v>
      </c>
      <c r="AH96" s="14" t="n">
        <f aca="false">AH91/Допущения!$C$9*Допущения!$C$10+AH91*Допущения!$C$11</f>
        <v>60000</v>
      </c>
      <c r="AI96" s="14" t="n">
        <f aca="false">AI91/Допущения!$C$9*Допущения!$C$10+AI91*Допущения!$C$11</f>
        <v>60000</v>
      </c>
      <c r="AJ96" s="14" t="n">
        <f aca="false">AJ91/Допущения!$C$9*Допущения!$C$10+AJ91*Допущения!$C$11</f>
        <v>60000</v>
      </c>
      <c r="AK96" s="14" t="n">
        <f aca="false">AK91/Допущения!$C$9*Допущения!$C$10+AK91*Допущения!$C$11</f>
        <v>60000</v>
      </c>
      <c r="AL96" s="14" t="n">
        <f aca="false">AL91/Допущения!$C$9*Допущения!$C$10+AL91*Допущения!$C$11</f>
        <v>60000</v>
      </c>
    </row>
    <row r="97" customFormat="false" ht="15" hidden="false" customHeight="false" outlineLevel="0" collapsed="false">
      <c r="A97" s="6" t="s">
        <v>183</v>
      </c>
      <c r="B97" s="3" t="s">
        <v>85</v>
      </c>
      <c r="C97" s="14" t="n">
        <f aca="false">C94*Допущения!$C$8</f>
        <v>34920</v>
      </c>
      <c r="D97" s="14" t="n">
        <f aca="false">D94*Допущения!$C$8</f>
        <v>34920</v>
      </c>
      <c r="E97" s="14" t="n">
        <f aca="false">E94*Допущения!$C$8</f>
        <v>34920</v>
      </c>
      <c r="F97" s="14" t="n">
        <f aca="false">F94*Допущения!$C$8</f>
        <v>34920</v>
      </c>
      <c r="G97" s="14" t="n">
        <f aca="false">G94*Допущения!$C$8</f>
        <v>34920</v>
      </c>
      <c r="H97" s="14" t="n">
        <f aca="false">H94*Допущения!$C$8</f>
        <v>34920</v>
      </c>
      <c r="I97" s="14" t="n">
        <f aca="false">I94*Допущения!$C$8</f>
        <v>34920</v>
      </c>
      <c r="J97" s="14" t="n">
        <f aca="false">J94*Допущения!$C$8</f>
        <v>34920</v>
      </c>
      <c r="K97" s="14" t="n">
        <f aca="false">K94*Допущения!$C$8</f>
        <v>34920</v>
      </c>
      <c r="L97" s="14" t="n">
        <f aca="false">L94*Допущения!$C$8</f>
        <v>34920</v>
      </c>
      <c r="M97" s="14" t="n">
        <f aca="false">M94*Допущения!$C$8</f>
        <v>34920</v>
      </c>
      <c r="N97" s="14" t="n">
        <f aca="false">N94*Допущения!$C$8</f>
        <v>34920</v>
      </c>
      <c r="O97" s="14" t="n">
        <f aca="false">O94*Допущения!$C$8</f>
        <v>69840</v>
      </c>
      <c r="P97" s="14" t="n">
        <f aca="false">P94*Допущения!$C$8</f>
        <v>69840</v>
      </c>
      <c r="Q97" s="14" t="n">
        <f aca="false">Q94*Допущения!$C$8</f>
        <v>69840</v>
      </c>
      <c r="R97" s="14" t="n">
        <f aca="false">R94*Допущения!$C$8</f>
        <v>69840</v>
      </c>
      <c r="S97" s="14" t="n">
        <f aca="false">S94*Допущения!$C$8</f>
        <v>69840</v>
      </c>
      <c r="T97" s="14" t="n">
        <f aca="false">T94*Допущения!$C$8</f>
        <v>69840</v>
      </c>
      <c r="U97" s="14" t="n">
        <f aca="false">U94*Допущения!$C$8</f>
        <v>69840</v>
      </c>
      <c r="V97" s="14" t="n">
        <f aca="false">V94*Допущения!$C$8</f>
        <v>69840</v>
      </c>
      <c r="W97" s="14" t="n">
        <f aca="false">W94*Допущения!$C$8</f>
        <v>69840</v>
      </c>
      <c r="X97" s="14" t="n">
        <f aca="false">X94*Допущения!$C$8</f>
        <v>69840</v>
      </c>
      <c r="Y97" s="14" t="n">
        <f aca="false">Y94*Допущения!$C$8</f>
        <v>69840</v>
      </c>
      <c r="Z97" s="14" t="n">
        <f aca="false">Z94*Допущения!$C$8</f>
        <v>69840</v>
      </c>
      <c r="AA97" s="14" t="n">
        <f aca="false">AA94*Допущения!$C$8</f>
        <v>139680</v>
      </c>
      <c r="AB97" s="14" t="n">
        <f aca="false">AB94*Допущения!$C$8</f>
        <v>139680</v>
      </c>
      <c r="AC97" s="14" t="n">
        <f aca="false">AC94*Допущения!$C$8</f>
        <v>139680</v>
      </c>
      <c r="AD97" s="14" t="n">
        <f aca="false">AD94*Допущения!$C$8</f>
        <v>139680</v>
      </c>
      <c r="AE97" s="14" t="n">
        <f aca="false">AE94*Допущения!$C$8</f>
        <v>139680</v>
      </c>
      <c r="AF97" s="14" t="n">
        <f aca="false">AF94*Допущения!$C$8</f>
        <v>139680</v>
      </c>
      <c r="AG97" s="14" t="n">
        <f aca="false">AG94*Допущения!$C$8</f>
        <v>139680</v>
      </c>
      <c r="AH97" s="14" t="n">
        <f aca="false">AH94*Допущения!$C$8</f>
        <v>139680</v>
      </c>
      <c r="AI97" s="14" t="n">
        <f aca="false">AI94*Допущения!$C$8</f>
        <v>139680</v>
      </c>
      <c r="AJ97" s="14" t="n">
        <f aca="false">AJ94*Допущения!$C$8</f>
        <v>139680</v>
      </c>
      <c r="AK97" s="14" t="n">
        <f aca="false">AK94*Допущения!$C$8</f>
        <v>139680</v>
      </c>
      <c r="AL97" s="14" t="n">
        <f aca="false">AL94*Допущения!$C$8</f>
        <v>139680</v>
      </c>
    </row>
    <row r="98" customFormat="false" ht="15" hidden="false" customHeight="false" outlineLevel="0" collapsed="false">
      <c r="A98" s="33" t="s">
        <v>184</v>
      </c>
      <c r="B98" s="34" t="s">
        <v>85</v>
      </c>
      <c r="C98" s="35" t="n">
        <f aca="false">C94-C95-C96-C97</f>
        <v>539580</v>
      </c>
      <c r="D98" s="35" t="n">
        <f aca="false">D94-D95-D96-D97</f>
        <v>539580</v>
      </c>
      <c r="E98" s="35" t="n">
        <f aca="false">E94-E95-E96-E97</f>
        <v>539580</v>
      </c>
      <c r="F98" s="35" t="n">
        <f aca="false">F94-F95-F96-F97</f>
        <v>539580</v>
      </c>
      <c r="G98" s="35" t="n">
        <f aca="false">G94-G95-G96-G97</f>
        <v>539580</v>
      </c>
      <c r="H98" s="35" t="n">
        <f aca="false">H94-H95-H96-H97</f>
        <v>539580</v>
      </c>
      <c r="I98" s="35" t="n">
        <f aca="false">I94-I95-I96-I97</f>
        <v>539580</v>
      </c>
      <c r="J98" s="35" t="n">
        <f aca="false">J94-J95-J96-J97</f>
        <v>539580</v>
      </c>
      <c r="K98" s="35" t="n">
        <f aca="false">K94-K95-K96-K97</f>
        <v>539580</v>
      </c>
      <c r="L98" s="35" t="n">
        <f aca="false">L94-L95-L96-L97</f>
        <v>539580</v>
      </c>
      <c r="M98" s="35" t="n">
        <f aca="false">M94-M95-M96-M97</f>
        <v>539580</v>
      </c>
      <c r="N98" s="35" t="n">
        <f aca="false">N94-N95-N96-N97</f>
        <v>539580</v>
      </c>
      <c r="O98" s="35" t="n">
        <f aca="false">O94-O95-O96-O97</f>
        <v>1079160</v>
      </c>
      <c r="P98" s="35" t="n">
        <f aca="false">P94-P95-P96-P97</f>
        <v>1079160</v>
      </c>
      <c r="Q98" s="35" t="n">
        <f aca="false">Q94-Q95-Q96-Q97</f>
        <v>1079160</v>
      </c>
      <c r="R98" s="35" t="n">
        <f aca="false">R94-R95-R96-R97</f>
        <v>1079160</v>
      </c>
      <c r="S98" s="35" t="n">
        <f aca="false">S94-S95-S96-S97</f>
        <v>1079160</v>
      </c>
      <c r="T98" s="35" t="n">
        <f aca="false">T94-T95-T96-T97</f>
        <v>1079160</v>
      </c>
      <c r="U98" s="35" t="n">
        <f aca="false">U94-U95-U96-U97</f>
        <v>1079160</v>
      </c>
      <c r="V98" s="35" t="n">
        <f aca="false">V94-V95-V96-V97</f>
        <v>1079160</v>
      </c>
      <c r="W98" s="35" t="n">
        <f aca="false">W94-W95-W96-W97</f>
        <v>1079160</v>
      </c>
      <c r="X98" s="35" t="n">
        <f aca="false">X94-X95-X96-X97</f>
        <v>1079160</v>
      </c>
      <c r="Y98" s="35" t="n">
        <f aca="false">Y94-Y95-Y96-Y97</f>
        <v>1079160</v>
      </c>
      <c r="Z98" s="35" t="n">
        <f aca="false">Z94-Z95-Z96-Z97</f>
        <v>1079160</v>
      </c>
      <c r="AA98" s="35" t="n">
        <f aca="false">AA94-AA95-AA96-AA97</f>
        <v>2158320</v>
      </c>
      <c r="AB98" s="35" t="n">
        <f aca="false">AB94-AB95-AB96-AB97</f>
        <v>2158320</v>
      </c>
      <c r="AC98" s="35" t="n">
        <f aca="false">AC94-AC95-AC96-AC97</f>
        <v>2158320</v>
      </c>
      <c r="AD98" s="35" t="n">
        <f aca="false">AD94-AD95-AD96-AD97</f>
        <v>2158320</v>
      </c>
      <c r="AE98" s="35" t="n">
        <f aca="false">AE94-AE95-AE96-AE97</f>
        <v>2158320</v>
      </c>
      <c r="AF98" s="35" t="n">
        <f aca="false">AF94-AF95-AF96-AF97</f>
        <v>2158320</v>
      </c>
      <c r="AG98" s="35" t="n">
        <f aca="false">AG94-AG95-AG96-AG97</f>
        <v>2158320</v>
      </c>
      <c r="AH98" s="35" t="n">
        <f aca="false">AH94-AH95-AH96-AH97</f>
        <v>2158320</v>
      </c>
      <c r="AI98" s="35" t="n">
        <f aca="false">AI94-AI95-AI96-AI97</f>
        <v>2158320</v>
      </c>
      <c r="AJ98" s="35" t="n">
        <f aca="false">AJ94-AJ95-AJ96-AJ97</f>
        <v>2158320</v>
      </c>
      <c r="AK98" s="35" t="n">
        <f aca="false">AK94-AK95-AK96-AK97</f>
        <v>2158320</v>
      </c>
      <c r="AL98" s="35" t="n">
        <f aca="false">AL94-AL95-AL96-AL97</f>
        <v>2158320</v>
      </c>
    </row>
    <row r="99" customFormat="false" ht="15" hidden="false" customHeight="false" outlineLevel="0" collapsed="false">
      <c r="A99" s="6" t="s">
        <v>185</v>
      </c>
      <c r="B99" s="3" t="s">
        <v>85</v>
      </c>
      <c r="C99" s="14" t="n">
        <f aca="false">C90*Допущения!$E$43</f>
        <v>50000</v>
      </c>
      <c r="D99" s="14" t="n">
        <f aca="false">D90*Допущения!$E$43</f>
        <v>50000</v>
      </c>
      <c r="E99" s="14" t="n">
        <f aca="false">E90*Допущения!$E$43</f>
        <v>50000</v>
      </c>
      <c r="F99" s="14" t="n">
        <f aca="false">F90*Допущения!$E$43</f>
        <v>50000</v>
      </c>
      <c r="G99" s="14" t="n">
        <f aca="false">G90*Допущения!$E$43</f>
        <v>50000</v>
      </c>
      <c r="H99" s="14" t="n">
        <f aca="false">H90*Допущения!$E$43</f>
        <v>50000</v>
      </c>
      <c r="I99" s="14" t="n">
        <f aca="false">I90*Допущения!$E$43</f>
        <v>50000</v>
      </c>
      <c r="J99" s="14" t="n">
        <f aca="false">J90*Допущения!$E$43</f>
        <v>50000</v>
      </c>
      <c r="K99" s="14" t="n">
        <f aca="false">K90*Допущения!$E$43</f>
        <v>50000</v>
      </c>
      <c r="L99" s="14" t="n">
        <f aca="false">L90*Допущения!$E$43</f>
        <v>50000</v>
      </c>
      <c r="M99" s="14" t="n">
        <f aca="false">M90*Допущения!$E$43</f>
        <v>50000</v>
      </c>
      <c r="N99" s="14" t="n">
        <f aca="false">N90*Допущения!$E$43</f>
        <v>50000</v>
      </c>
      <c r="O99" s="14" t="n">
        <f aca="false">O90*Допущения!$E$43</f>
        <v>100000</v>
      </c>
      <c r="P99" s="14" t="n">
        <f aca="false">P90*Допущения!$E$43</f>
        <v>100000</v>
      </c>
      <c r="Q99" s="14" t="n">
        <f aca="false">Q90*Допущения!$E$43</f>
        <v>100000</v>
      </c>
      <c r="R99" s="14" t="n">
        <f aca="false">R90*Допущения!$E$43</f>
        <v>100000</v>
      </c>
      <c r="S99" s="14" t="n">
        <f aca="false">S90*Допущения!$E$43</f>
        <v>100000</v>
      </c>
      <c r="T99" s="14" t="n">
        <f aca="false">T90*Допущения!$E$43</f>
        <v>100000</v>
      </c>
      <c r="U99" s="14" t="n">
        <f aca="false">U90*Допущения!$E$43</f>
        <v>100000</v>
      </c>
      <c r="V99" s="14" t="n">
        <f aca="false">V90*Допущения!$E$43</f>
        <v>100000</v>
      </c>
      <c r="W99" s="14" t="n">
        <f aca="false">W90*Допущения!$E$43</f>
        <v>100000</v>
      </c>
      <c r="X99" s="14" t="n">
        <f aca="false">X90*Допущения!$E$43</f>
        <v>100000</v>
      </c>
      <c r="Y99" s="14" t="n">
        <f aca="false">Y90*Допущения!$E$43</f>
        <v>100000</v>
      </c>
      <c r="Z99" s="14" t="n">
        <f aca="false">Z90*Допущения!$E$43</f>
        <v>100000</v>
      </c>
      <c r="AA99" s="14" t="n">
        <f aca="false">AA90*Допущения!$E$43</f>
        <v>200000</v>
      </c>
      <c r="AB99" s="14" t="n">
        <f aca="false">AB90*Допущения!$E$43</f>
        <v>200000</v>
      </c>
      <c r="AC99" s="14" t="n">
        <f aca="false">AC90*Допущения!$E$43</f>
        <v>200000</v>
      </c>
      <c r="AD99" s="14" t="n">
        <f aca="false">AD90*Допущения!$E$43</f>
        <v>200000</v>
      </c>
      <c r="AE99" s="14" t="n">
        <f aca="false">AE90*Допущения!$E$43</f>
        <v>200000</v>
      </c>
      <c r="AF99" s="14" t="n">
        <f aca="false">AF90*Допущения!$E$43</f>
        <v>200000</v>
      </c>
      <c r="AG99" s="14" t="n">
        <f aca="false">AG90*Допущения!$E$43</f>
        <v>200000</v>
      </c>
      <c r="AH99" s="14" t="n">
        <f aca="false">AH90*Допущения!$E$43</f>
        <v>200000</v>
      </c>
      <c r="AI99" s="14" t="n">
        <f aca="false">AI90*Допущения!$E$43</f>
        <v>200000</v>
      </c>
      <c r="AJ99" s="14" t="n">
        <f aca="false">AJ90*Допущения!$E$43</f>
        <v>200000</v>
      </c>
      <c r="AK99" s="14" t="n">
        <f aca="false">AK90*Допущения!$E$43</f>
        <v>200000</v>
      </c>
      <c r="AL99" s="14" t="n">
        <f aca="false">AL90*Допущения!$E$43</f>
        <v>200000</v>
      </c>
    </row>
    <row r="100" customFormat="false" ht="15" hidden="false" customHeight="false" outlineLevel="0" collapsed="false">
      <c r="A100" s="6" t="s">
        <v>186</v>
      </c>
      <c r="B100" s="3" t="s">
        <v>85</v>
      </c>
      <c r="C100" s="14" t="n">
        <f aca="false">C78*Допущения!$E$30</f>
        <v>500000</v>
      </c>
      <c r="D100" s="14" t="n">
        <f aca="false">D78*Допущения!$E$30</f>
        <v>500000</v>
      </c>
      <c r="E100" s="14" t="n">
        <f aca="false">E78*Допущения!$E$30</f>
        <v>500000</v>
      </c>
      <c r="F100" s="14" t="n">
        <f aca="false">F78*Допущения!$E$30</f>
        <v>500000</v>
      </c>
      <c r="G100" s="14" t="n">
        <f aca="false">G78*Допущения!$E$30</f>
        <v>500000</v>
      </c>
      <c r="H100" s="14" t="n">
        <f aca="false">H78*Допущения!$E$30</f>
        <v>500000</v>
      </c>
      <c r="I100" s="14" t="n">
        <f aca="false">I78*Допущения!$E$30</f>
        <v>500000</v>
      </c>
      <c r="J100" s="14" t="n">
        <f aca="false">J78*Допущения!$E$30</f>
        <v>500000</v>
      </c>
      <c r="K100" s="14" t="n">
        <f aca="false">K78*Допущения!$E$30</f>
        <v>500000</v>
      </c>
      <c r="L100" s="14" t="n">
        <f aca="false">L78*Допущения!$E$30</f>
        <v>500000</v>
      </c>
      <c r="M100" s="14" t="n">
        <f aca="false">M78*Допущения!$E$30</f>
        <v>500000</v>
      </c>
      <c r="N100" s="14" t="n">
        <f aca="false">N78*Допущения!$E$30</f>
        <v>500000</v>
      </c>
      <c r="O100" s="14" t="n">
        <f aca="false">O78*Допущения!$E$30</f>
        <v>800000</v>
      </c>
      <c r="P100" s="14" t="n">
        <f aca="false">P78*Допущения!$E$30</f>
        <v>800000</v>
      </c>
      <c r="Q100" s="14" t="n">
        <f aca="false">Q78*Допущения!$E$30</f>
        <v>800000</v>
      </c>
      <c r="R100" s="14" t="n">
        <f aca="false">R78*Допущения!$E$30</f>
        <v>800000</v>
      </c>
      <c r="S100" s="14" t="n">
        <f aca="false">S78*Допущения!$E$30</f>
        <v>800000</v>
      </c>
      <c r="T100" s="14" t="n">
        <f aca="false">T78*Допущения!$E$30</f>
        <v>800000</v>
      </c>
      <c r="U100" s="14" t="n">
        <f aca="false">U78*Допущения!$E$30</f>
        <v>800000</v>
      </c>
      <c r="V100" s="14" t="n">
        <f aca="false">V78*Допущения!$E$30</f>
        <v>800000</v>
      </c>
      <c r="W100" s="14" t="n">
        <f aca="false">W78*Допущения!$E$30</f>
        <v>800000</v>
      </c>
      <c r="X100" s="14" t="n">
        <f aca="false">X78*Допущения!$E$30</f>
        <v>800000</v>
      </c>
      <c r="Y100" s="14" t="n">
        <f aca="false">Y78*Допущения!$E$30</f>
        <v>800000</v>
      </c>
      <c r="Z100" s="14" t="n">
        <f aca="false">Z78*Допущения!$E$30</f>
        <v>800000</v>
      </c>
      <c r="AA100" s="14" t="n">
        <f aca="false">AA78*Допущения!$E$30</f>
        <v>1100000</v>
      </c>
      <c r="AB100" s="14" t="n">
        <f aca="false">AB78*Допущения!$E$30</f>
        <v>1100000</v>
      </c>
      <c r="AC100" s="14" t="n">
        <f aca="false">AC78*Допущения!$E$30</f>
        <v>1100000</v>
      </c>
      <c r="AD100" s="14" t="n">
        <f aca="false">AD78*Допущения!$E$30</f>
        <v>1100000</v>
      </c>
      <c r="AE100" s="14" t="n">
        <f aca="false">AE78*Допущения!$E$30</f>
        <v>1100000</v>
      </c>
      <c r="AF100" s="14" t="n">
        <f aca="false">AF78*Допущения!$E$30</f>
        <v>1100000</v>
      </c>
      <c r="AG100" s="14" t="n">
        <f aca="false">AG78*Допущения!$E$30</f>
        <v>1100000</v>
      </c>
      <c r="AH100" s="14" t="n">
        <f aca="false">AH78*Допущения!$E$30</f>
        <v>1100000</v>
      </c>
      <c r="AI100" s="14" t="n">
        <f aca="false">AI78*Допущения!$E$30</f>
        <v>1100000</v>
      </c>
      <c r="AJ100" s="14" t="n">
        <f aca="false">AJ78*Допущения!$E$30</f>
        <v>1100000</v>
      </c>
      <c r="AK100" s="14" t="n">
        <f aca="false">AK78*Допущения!$E$30</f>
        <v>1100000</v>
      </c>
      <c r="AL100" s="14" t="n">
        <f aca="false">AL78*Допущения!$E$30</f>
        <v>1100000</v>
      </c>
    </row>
    <row r="101" customFormat="false" ht="15" hidden="false" customHeight="false" outlineLevel="0" collapsed="false">
      <c r="A101" s="6" t="s">
        <v>187</v>
      </c>
      <c r="B101" s="3" t="s">
        <v>85</v>
      </c>
      <c r="C101" s="14" t="n">
        <f aca="false">CHOOSE(C$6,Допущения!$C$18,Допущения!$D$18,Допущения!$E$18)</f>
        <v>60000</v>
      </c>
      <c r="D101" s="14" t="n">
        <f aca="false">CHOOSE(D$6,Допущения!$C$18,Допущения!$D$18,Допущения!$E$18)</f>
        <v>60000</v>
      </c>
      <c r="E101" s="14" t="n">
        <f aca="false">CHOOSE(E$6,Допущения!$C$18,Допущения!$D$18,Допущения!$E$18)</f>
        <v>60000</v>
      </c>
      <c r="F101" s="14" t="n">
        <f aca="false">CHOOSE(F$6,Допущения!$C$18,Допущения!$D$18,Допущения!$E$18)</f>
        <v>60000</v>
      </c>
      <c r="G101" s="14" t="n">
        <f aca="false">CHOOSE(G$6,Допущения!$C$18,Допущения!$D$18,Допущения!$E$18)</f>
        <v>60000</v>
      </c>
      <c r="H101" s="14" t="n">
        <f aca="false">CHOOSE(H$6,Допущения!$C$18,Допущения!$D$18,Допущения!$E$18)</f>
        <v>60000</v>
      </c>
      <c r="I101" s="14" t="n">
        <f aca="false">CHOOSE(I$6,Допущения!$C$18,Допущения!$D$18,Допущения!$E$18)</f>
        <v>60000</v>
      </c>
      <c r="J101" s="14" t="n">
        <f aca="false">CHOOSE(J$6,Допущения!$C$18,Допущения!$D$18,Допущения!$E$18)</f>
        <v>60000</v>
      </c>
      <c r="K101" s="14" t="n">
        <f aca="false">CHOOSE(K$6,Допущения!$C$18,Допущения!$D$18,Допущения!$E$18)</f>
        <v>60000</v>
      </c>
      <c r="L101" s="14" t="n">
        <f aca="false">CHOOSE(L$6,Допущения!$C$18,Допущения!$D$18,Допущения!$E$18)</f>
        <v>60000</v>
      </c>
      <c r="M101" s="14" t="n">
        <f aca="false">CHOOSE(M$6,Допущения!$C$18,Допущения!$D$18,Допущения!$E$18)</f>
        <v>60000</v>
      </c>
      <c r="N101" s="14" t="n">
        <f aca="false">CHOOSE(N$6,Допущения!$C$18,Допущения!$D$18,Допущения!$E$18)</f>
        <v>60000</v>
      </c>
      <c r="O101" s="14" t="n">
        <f aca="false">CHOOSE(O$6,Допущения!$C$18,Допущения!$D$18,Допущения!$E$18)</f>
        <v>120000</v>
      </c>
      <c r="P101" s="14" t="n">
        <f aca="false">CHOOSE(P$6,Допущения!$C$18,Допущения!$D$18,Допущения!$E$18)</f>
        <v>120000</v>
      </c>
      <c r="Q101" s="14" t="n">
        <f aca="false">CHOOSE(Q$6,Допущения!$C$18,Допущения!$D$18,Допущения!$E$18)</f>
        <v>120000</v>
      </c>
      <c r="R101" s="14" t="n">
        <f aca="false">CHOOSE(R$6,Допущения!$C$18,Допущения!$D$18,Допущения!$E$18)</f>
        <v>120000</v>
      </c>
      <c r="S101" s="14" t="n">
        <f aca="false">CHOOSE(S$6,Допущения!$C$18,Допущения!$D$18,Допущения!$E$18)</f>
        <v>120000</v>
      </c>
      <c r="T101" s="14" t="n">
        <f aca="false">CHOOSE(T$6,Допущения!$C$18,Допущения!$D$18,Допущения!$E$18)</f>
        <v>120000</v>
      </c>
      <c r="U101" s="14" t="n">
        <f aca="false">CHOOSE(U$6,Допущения!$C$18,Допущения!$D$18,Допущения!$E$18)</f>
        <v>120000</v>
      </c>
      <c r="V101" s="14" t="n">
        <f aca="false">CHOOSE(V$6,Допущения!$C$18,Допущения!$D$18,Допущения!$E$18)</f>
        <v>120000</v>
      </c>
      <c r="W101" s="14" t="n">
        <f aca="false">CHOOSE(W$6,Допущения!$C$18,Допущения!$D$18,Допущения!$E$18)</f>
        <v>120000</v>
      </c>
      <c r="X101" s="14" t="n">
        <f aca="false">CHOOSE(X$6,Допущения!$C$18,Допущения!$D$18,Допущения!$E$18)</f>
        <v>120000</v>
      </c>
      <c r="Y101" s="14" t="n">
        <f aca="false">CHOOSE(Y$6,Допущения!$C$18,Допущения!$D$18,Допущения!$E$18)</f>
        <v>120000</v>
      </c>
      <c r="Z101" s="14" t="n">
        <f aca="false">CHOOSE(Z$6,Допущения!$C$18,Допущения!$D$18,Допущения!$E$18)</f>
        <v>120000</v>
      </c>
      <c r="AA101" s="14" t="n">
        <f aca="false">CHOOSE(AA$6,Допущения!$C$18,Допущения!$D$18,Допущения!$E$18)</f>
        <v>200000</v>
      </c>
      <c r="AB101" s="14" t="n">
        <f aca="false">CHOOSE(AB$6,Допущения!$C$18,Допущения!$D$18,Допущения!$E$18)</f>
        <v>200000</v>
      </c>
      <c r="AC101" s="14" t="n">
        <f aca="false">CHOOSE(AC$6,Допущения!$C$18,Допущения!$D$18,Допущения!$E$18)</f>
        <v>200000</v>
      </c>
      <c r="AD101" s="14" t="n">
        <f aca="false">CHOOSE(AD$6,Допущения!$C$18,Допущения!$D$18,Допущения!$E$18)</f>
        <v>200000</v>
      </c>
      <c r="AE101" s="14" t="n">
        <f aca="false">CHOOSE(AE$6,Допущения!$C$18,Допущения!$D$18,Допущения!$E$18)</f>
        <v>200000</v>
      </c>
      <c r="AF101" s="14" t="n">
        <f aca="false">CHOOSE(AF$6,Допущения!$C$18,Допущения!$D$18,Допущения!$E$18)</f>
        <v>200000</v>
      </c>
      <c r="AG101" s="14" t="n">
        <f aca="false">CHOOSE(AG$6,Допущения!$C$18,Допущения!$D$18,Допущения!$E$18)</f>
        <v>200000</v>
      </c>
      <c r="AH101" s="14" t="n">
        <f aca="false">CHOOSE(AH$6,Допущения!$C$18,Допущения!$D$18,Допущения!$E$18)</f>
        <v>200000</v>
      </c>
      <c r="AI101" s="14" t="n">
        <f aca="false">CHOOSE(AI$6,Допущения!$C$18,Допущения!$D$18,Допущения!$E$18)</f>
        <v>200000</v>
      </c>
      <c r="AJ101" s="14" t="n">
        <f aca="false">CHOOSE(AJ$6,Допущения!$C$18,Допущения!$D$18,Допущения!$E$18)</f>
        <v>200000</v>
      </c>
      <c r="AK101" s="14" t="n">
        <f aca="false">CHOOSE(AK$6,Допущения!$C$18,Допущения!$D$18,Допущения!$E$18)</f>
        <v>200000</v>
      </c>
      <c r="AL101" s="14" t="n">
        <f aca="false">CHOOSE(AL$6,Допущения!$C$18,Допущения!$D$18,Допущения!$E$18)</f>
        <v>200000</v>
      </c>
    </row>
    <row r="102" customFormat="false" ht="15" hidden="false" customHeight="false" outlineLevel="0" collapsed="false">
      <c r="A102" s="6" t="s">
        <v>188</v>
      </c>
      <c r="B102" s="3" t="s">
        <v>85</v>
      </c>
      <c r="C102" s="14" t="n">
        <f aca="false">Допущения!$C$15+IF(C$4=1,Допущения!$C$14,0)</f>
        <v>840000</v>
      </c>
      <c r="D102" s="14" t="n">
        <f aca="false">Допущения!$C$15+IF(D$4=1,Допущения!$C$14,0)</f>
        <v>40000</v>
      </c>
      <c r="E102" s="14" t="n">
        <f aca="false">Допущения!$C$15+IF(E$4=1,Допущения!$C$14,0)</f>
        <v>40000</v>
      </c>
      <c r="F102" s="14" t="n">
        <f aca="false">Допущения!$C$15+IF(F$4=1,Допущения!$C$14,0)</f>
        <v>40000</v>
      </c>
      <c r="G102" s="14" t="n">
        <f aca="false">Допущения!$C$15+IF(G$4=1,Допущения!$C$14,0)</f>
        <v>40000</v>
      </c>
      <c r="H102" s="14" t="n">
        <f aca="false">Допущения!$C$15+IF(H$4=1,Допущения!$C$14,0)</f>
        <v>40000</v>
      </c>
      <c r="I102" s="14" t="n">
        <f aca="false">Допущения!$C$15+IF(I$4=1,Допущения!$C$14,0)</f>
        <v>40000</v>
      </c>
      <c r="J102" s="14" t="n">
        <f aca="false">Допущения!$C$15+IF(J$4=1,Допущения!$C$14,0)</f>
        <v>40000</v>
      </c>
      <c r="K102" s="14" t="n">
        <f aca="false">Допущения!$C$15+IF(K$4=1,Допущения!$C$14,0)</f>
        <v>40000</v>
      </c>
      <c r="L102" s="14" t="n">
        <f aca="false">Допущения!$C$15+IF(L$4=1,Допущения!$C$14,0)</f>
        <v>40000</v>
      </c>
      <c r="M102" s="14" t="n">
        <f aca="false">Допущения!$C$15+IF(M$4=1,Допущения!$C$14,0)</f>
        <v>40000</v>
      </c>
      <c r="N102" s="14" t="n">
        <f aca="false">Допущения!$C$15+IF(N$4=1,Допущения!$C$14,0)</f>
        <v>40000</v>
      </c>
      <c r="O102" s="14" t="n">
        <f aca="false">Допущения!$C$15+IF(O$4=1,Допущения!$C$14,0)</f>
        <v>40000</v>
      </c>
      <c r="P102" s="14" t="n">
        <f aca="false">Допущения!$C$15+IF(P$4=1,Допущения!$C$14,0)</f>
        <v>40000</v>
      </c>
      <c r="Q102" s="14" t="n">
        <f aca="false">Допущения!$C$15+IF(Q$4=1,Допущения!$C$14,0)</f>
        <v>40000</v>
      </c>
      <c r="R102" s="14" t="n">
        <f aca="false">Допущения!$C$15+IF(R$4=1,Допущения!$C$14,0)</f>
        <v>40000</v>
      </c>
      <c r="S102" s="14" t="n">
        <f aca="false">Допущения!$C$15+IF(S$4=1,Допущения!$C$14,0)</f>
        <v>40000</v>
      </c>
      <c r="T102" s="14" t="n">
        <f aca="false">Допущения!$C$15+IF(T$4=1,Допущения!$C$14,0)</f>
        <v>40000</v>
      </c>
      <c r="U102" s="14" t="n">
        <f aca="false">Допущения!$C$15+IF(U$4=1,Допущения!$C$14,0)</f>
        <v>40000</v>
      </c>
      <c r="V102" s="14" t="n">
        <f aca="false">Допущения!$C$15+IF(V$4=1,Допущения!$C$14,0)</f>
        <v>40000</v>
      </c>
      <c r="W102" s="14" t="n">
        <f aca="false">Допущения!$C$15+IF(W$4=1,Допущения!$C$14,0)</f>
        <v>40000</v>
      </c>
      <c r="X102" s="14" t="n">
        <f aca="false">Допущения!$C$15+IF(X$4=1,Допущения!$C$14,0)</f>
        <v>40000</v>
      </c>
      <c r="Y102" s="14" t="n">
        <f aca="false">Допущения!$C$15+IF(Y$4=1,Допущения!$C$14,0)</f>
        <v>40000</v>
      </c>
      <c r="Z102" s="14" t="n">
        <f aca="false">Допущения!$C$15+IF(Z$4=1,Допущения!$C$14,0)</f>
        <v>40000</v>
      </c>
      <c r="AA102" s="14" t="n">
        <f aca="false">Допущения!$C$15+IF(AA$4=1,Допущения!$C$14,0)</f>
        <v>40000</v>
      </c>
      <c r="AB102" s="14" t="n">
        <f aca="false">Допущения!$C$15+IF(AB$4=1,Допущения!$C$14,0)</f>
        <v>40000</v>
      </c>
      <c r="AC102" s="14" t="n">
        <f aca="false">Допущения!$C$15+IF(AC$4=1,Допущения!$C$14,0)</f>
        <v>40000</v>
      </c>
      <c r="AD102" s="14" t="n">
        <f aca="false">Допущения!$C$15+IF(AD$4=1,Допущения!$C$14,0)</f>
        <v>40000</v>
      </c>
      <c r="AE102" s="14" t="n">
        <f aca="false">Допущения!$C$15+IF(AE$4=1,Допущения!$C$14,0)</f>
        <v>40000</v>
      </c>
      <c r="AF102" s="14" t="n">
        <f aca="false">Допущения!$C$15+IF(AF$4=1,Допущения!$C$14,0)</f>
        <v>40000</v>
      </c>
      <c r="AG102" s="14" t="n">
        <f aca="false">Допущения!$C$15+IF(AG$4=1,Допущения!$C$14,0)</f>
        <v>40000</v>
      </c>
      <c r="AH102" s="14" t="n">
        <f aca="false">Допущения!$C$15+IF(AH$4=1,Допущения!$C$14,0)</f>
        <v>40000</v>
      </c>
      <c r="AI102" s="14" t="n">
        <f aca="false">Допущения!$C$15+IF(AI$4=1,Допущения!$C$14,0)</f>
        <v>40000</v>
      </c>
      <c r="AJ102" s="14" t="n">
        <f aca="false">Допущения!$C$15+IF(AJ$4=1,Допущения!$C$14,0)</f>
        <v>40000</v>
      </c>
      <c r="AK102" s="14" t="n">
        <f aca="false">Допущения!$C$15+IF(AK$4=1,Допущения!$C$14,0)</f>
        <v>40000</v>
      </c>
      <c r="AL102" s="14" t="n">
        <f aca="false">Допущения!$C$15+IF(AL$4=1,Допущения!$C$14,0)</f>
        <v>40000</v>
      </c>
    </row>
    <row r="103" customFormat="false" ht="15" hidden="false" customHeight="false" outlineLevel="0" collapsed="false">
      <c r="A103" s="6" t="s">
        <v>189</v>
      </c>
      <c r="B103" s="3" t="s">
        <v>85</v>
      </c>
      <c r="C103" s="14" t="n">
        <f aca="false">CHOOSE(C$6,Допущения!$C$19,Допущения!$D$19,Допущения!$E$19)</f>
        <v>0</v>
      </c>
      <c r="D103" s="14" t="n">
        <f aca="false">CHOOSE(D$6,Допущения!$C$19,Допущения!$D$19,Допущения!$E$19)</f>
        <v>0</v>
      </c>
      <c r="E103" s="14" t="n">
        <f aca="false">CHOOSE(E$6,Допущения!$C$19,Допущения!$D$19,Допущения!$E$19)</f>
        <v>0</v>
      </c>
      <c r="F103" s="14" t="n">
        <f aca="false">CHOOSE(F$6,Допущения!$C$19,Допущения!$D$19,Допущения!$E$19)</f>
        <v>0</v>
      </c>
      <c r="G103" s="14" t="n">
        <f aca="false">CHOOSE(G$6,Допущения!$C$19,Допущения!$D$19,Допущения!$E$19)</f>
        <v>0</v>
      </c>
      <c r="H103" s="14" t="n">
        <f aca="false">CHOOSE(H$6,Допущения!$C$19,Допущения!$D$19,Допущения!$E$19)</f>
        <v>0</v>
      </c>
      <c r="I103" s="14" t="n">
        <f aca="false">CHOOSE(I$6,Допущения!$C$19,Допущения!$D$19,Допущения!$E$19)</f>
        <v>0</v>
      </c>
      <c r="J103" s="14" t="n">
        <f aca="false">CHOOSE(J$6,Допущения!$C$19,Допущения!$D$19,Допущения!$E$19)</f>
        <v>0</v>
      </c>
      <c r="K103" s="14" t="n">
        <f aca="false">CHOOSE(K$6,Допущения!$C$19,Допущения!$D$19,Допущения!$E$19)</f>
        <v>0</v>
      </c>
      <c r="L103" s="14" t="n">
        <f aca="false">CHOOSE(L$6,Допущения!$C$19,Допущения!$D$19,Допущения!$E$19)</f>
        <v>0</v>
      </c>
      <c r="M103" s="14" t="n">
        <f aca="false">CHOOSE(M$6,Допущения!$C$19,Допущения!$D$19,Допущения!$E$19)</f>
        <v>0</v>
      </c>
      <c r="N103" s="14" t="n">
        <f aca="false">CHOOSE(N$6,Допущения!$C$19,Допущения!$D$19,Допущения!$E$19)</f>
        <v>0</v>
      </c>
      <c r="O103" s="14" t="n">
        <f aca="false">CHOOSE(O$6,Допущения!$C$19,Допущения!$D$19,Допущения!$E$19)</f>
        <v>300000</v>
      </c>
      <c r="P103" s="14" t="n">
        <f aca="false">CHOOSE(P$6,Допущения!$C$19,Допущения!$D$19,Допущения!$E$19)</f>
        <v>300000</v>
      </c>
      <c r="Q103" s="14" t="n">
        <f aca="false">CHOOSE(Q$6,Допущения!$C$19,Допущения!$D$19,Допущения!$E$19)</f>
        <v>300000</v>
      </c>
      <c r="R103" s="14" t="n">
        <f aca="false">CHOOSE(R$6,Допущения!$C$19,Допущения!$D$19,Допущения!$E$19)</f>
        <v>300000</v>
      </c>
      <c r="S103" s="14" t="n">
        <f aca="false">CHOOSE(S$6,Допущения!$C$19,Допущения!$D$19,Допущения!$E$19)</f>
        <v>300000</v>
      </c>
      <c r="T103" s="14" t="n">
        <f aca="false">CHOOSE(T$6,Допущения!$C$19,Допущения!$D$19,Допущения!$E$19)</f>
        <v>300000</v>
      </c>
      <c r="U103" s="14" t="n">
        <f aca="false">CHOOSE(U$6,Допущения!$C$19,Допущения!$D$19,Допущения!$E$19)</f>
        <v>300000</v>
      </c>
      <c r="V103" s="14" t="n">
        <f aca="false">CHOOSE(V$6,Допущения!$C$19,Допущения!$D$19,Допущения!$E$19)</f>
        <v>300000</v>
      </c>
      <c r="W103" s="14" t="n">
        <f aca="false">CHOOSE(W$6,Допущения!$C$19,Допущения!$D$19,Допущения!$E$19)</f>
        <v>300000</v>
      </c>
      <c r="X103" s="14" t="n">
        <f aca="false">CHOOSE(X$6,Допущения!$C$19,Допущения!$D$19,Допущения!$E$19)</f>
        <v>300000</v>
      </c>
      <c r="Y103" s="14" t="n">
        <f aca="false">CHOOSE(Y$6,Допущения!$C$19,Допущения!$D$19,Допущения!$E$19)</f>
        <v>300000</v>
      </c>
      <c r="Z103" s="14" t="n">
        <f aca="false">CHOOSE(Z$6,Допущения!$C$19,Допущения!$D$19,Допущения!$E$19)</f>
        <v>300000</v>
      </c>
      <c r="AA103" s="14" t="n">
        <f aca="false">CHOOSE(AA$6,Допущения!$C$19,Допущения!$D$19,Допущения!$E$19)</f>
        <v>500000</v>
      </c>
      <c r="AB103" s="14" t="n">
        <f aca="false">CHOOSE(AB$6,Допущения!$C$19,Допущения!$D$19,Допущения!$E$19)</f>
        <v>500000</v>
      </c>
      <c r="AC103" s="14" t="n">
        <f aca="false">CHOOSE(AC$6,Допущения!$C$19,Допущения!$D$19,Допущения!$E$19)</f>
        <v>500000</v>
      </c>
      <c r="AD103" s="14" t="n">
        <f aca="false">CHOOSE(AD$6,Допущения!$C$19,Допущения!$D$19,Допущения!$E$19)</f>
        <v>500000</v>
      </c>
      <c r="AE103" s="14" t="n">
        <f aca="false">CHOOSE(AE$6,Допущения!$C$19,Допущения!$D$19,Допущения!$E$19)</f>
        <v>500000</v>
      </c>
      <c r="AF103" s="14" t="n">
        <f aca="false">CHOOSE(AF$6,Допущения!$C$19,Допущения!$D$19,Допущения!$E$19)</f>
        <v>500000</v>
      </c>
      <c r="AG103" s="14" t="n">
        <f aca="false">CHOOSE(AG$6,Допущения!$C$19,Допущения!$D$19,Допущения!$E$19)</f>
        <v>500000</v>
      </c>
      <c r="AH103" s="14" t="n">
        <f aca="false">CHOOSE(AH$6,Допущения!$C$19,Допущения!$D$19,Допущения!$E$19)</f>
        <v>500000</v>
      </c>
      <c r="AI103" s="14" t="n">
        <f aca="false">CHOOSE(AI$6,Допущения!$C$19,Допущения!$D$19,Допущения!$E$19)</f>
        <v>500000</v>
      </c>
      <c r="AJ103" s="14" t="n">
        <f aca="false">CHOOSE(AJ$6,Допущения!$C$19,Допущения!$D$19,Допущения!$E$19)</f>
        <v>500000</v>
      </c>
      <c r="AK103" s="14" t="n">
        <f aca="false">CHOOSE(AK$6,Допущения!$C$19,Допущения!$D$19,Допущения!$E$19)</f>
        <v>500000</v>
      </c>
      <c r="AL103" s="14" t="n">
        <f aca="false">CHOOSE(AL$6,Допущения!$C$19,Допущения!$D$19,Допущения!$E$19)</f>
        <v>500000</v>
      </c>
    </row>
    <row r="104" customFormat="false" ht="15" hidden="false" customHeight="false" outlineLevel="0" collapsed="false">
      <c r="A104" s="6" t="s">
        <v>190</v>
      </c>
      <c r="B104" s="3" t="s">
        <v>85</v>
      </c>
      <c r="C104" s="14" t="n">
        <f aca="false">SUM(C100:C103)</f>
        <v>1400000</v>
      </c>
      <c r="D104" s="14" t="n">
        <f aca="false">SUM(D100:D103)</f>
        <v>600000</v>
      </c>
      <c r="E104" s="14" t="n">
        <f aca="false">SUM(E100:E103)</f>
        <v>600000</v>
      </c>
      <c r="F104" s="14" t="n">
        <f aca="false">SUM(F100:F103)</f>
        <v>600000</v>
      </c>
      <c r="G104" s="14" t="n">
        <f aca="false">SUM(G100:G103)</f>
        <v>600000</v>
      </c>
      <c r="H104" s="14" t="n">
        <f aca="false">SUM(H100:H103)</f>
        <v>600000</v>
      </c>
      <c r="I104" s="14" t="n">
        <f aca="false">SUM(I100:I103)</f>
        <v>600000</v>
      </c>
      <c r="J104" s="14" t="n">
        <f aca="false">SUM(J100:J103)</f>
        <v>600000</v>
      </c>
      <c r="K104" s="14" t="n">
        <f aca="false">SUM(K100:K103)</f>
        <v>600000</v>
      </c>
      <c r="L104" s="14" t="n">
        <f aca="false">SUM(L100:L103)</f>
        <v>600000</v>
      </c>
      <c r="M104" s="14" t="n">
        <f aca="false">SUM(M100:M103)</f>
        <v>600000</v>
      </c>
      <c r="N104" s="14" t="n">
        <f aca="false">SUM(N100:N103)</f>
        <v>600000</v>
      </c>
      <c r="O104" s="14" t="n">
        <f aca="false">SUM(O100:O103)</f>
        <v>1260000</v>
      </c>
      <c r="P104" s="14" t="n">
        <f aca="false">SUM(P100:P103)</f>
        <v>1260000</v>
      </c>
      <c r="Q104" s="14" t="n">
        <f aca="false">SUM(Q100:Q103)</f>
        <v>1260000</v>
      </c>
      <c r="R104" s="14" t="n">
        <f aca="false">SUM(R100:R103)</f>
        <v>1260000</v>
      </c>
      <c r="S104" s="14" t="n">
        <f aca="false">SUM(S100:S103)</f>
        <v>1260000</v>
      </c>
      <c r="T104" s="14" t="n">
        <f aca="false">SUM(T100:T103)</f>
        <v>1260000</v>
      </c>
      <c r="U104" s="14" t="n">
        <f aca="false">SUM(U100:U103)</f>
        <v>1260000</v>
      </c>
      <c r="V104" s="14" t="n">
        <f aca="false">SUM(V100:V103)</f>
        <v>1260000</v>
      </c>
      <c r="W104" s="14" t="n">
        <f aca="false">SUM(W100:W103)</f>
        <v>1260000</v>
      </c>
      <c r="X104" s="14" t="n">
        <f aca="false">SUM(X100:X103)</f>
        <v>1260000</v>
      </c>
      <c r="Y104" s="14" t="n">
        <f aca="false">SUM(Y100:Y103)</f>
        <v>1260000</v>
      </c>
      <c r="Z104" s="14" t="n">
        <f aca="false">SUM(Z100:Z103)</f>
        <v>1260000</v>
      </c>
      <c r="AA104" s="14" t="n">
        <f aca="false">SUM(AA100:AA103)</f>
        <v>1840000</v>
      </c>
      <c r="AB104" s="14" t="n">
        <f aca="false">SUM(AB100:AB103)</f>
        <v>1840000</v>
      </c>
      <c r="AC104" s="14" t="n">
        <f aca="false">SUM(AC100:AC103)</f>
        <v>1840000</v>
      </c>
      <c r="AD104" s="14" t="n">
        <f aca="false">SUM(AD100:AD103)</f>
        <v>1840000</v>
      </c>
      <c r="AE104" s="14" t="n">
        <f aca="false">SUM(AE100:AE103)</f>
        <v>1840000</v>
      </c>
      <c r="AF104" s="14" t="n">
        <f aca="false">SUM(AF100:AF103)</f>
        <v>1840000</v>
      </c>
      <c r="AG104" s="14" t="n">
        <f aca="false">SUM(AG100:AG103)</f>
        <v>1840000</v>
      </c>
      <c r="AH104" s="14" t="n">
        <f aca="false">SUM(AH100:AH103)</f>
        <v>1840000</v>
      </c>
      <c r="AI104" s="14" t="n">
        <f aca="false">SUM(AI100:AI103)</f>
        <v>1840000</v>
      </c>
      <c r="AJ104" s="14" t="n">
        <f aca="false">SUM(AJ100:AJ103)</f>
        <v>1840000</v>
      </c>
      <c r="AK104" s="14" t="n">
        <f aca="false">SUM(AK100:AK103)</f>
        <v>1840000</v>
      </c>
      <c r="AL104" s="14" t="n">
        <f aca="false">SUM(AL100:AL103)</f>
        <v>1840000</v>
      </c>
    </row>
    <row r="105" customFormat="false" ht="15" hidden="false" customHeight="false" outlineLevel="0" collapsed="false">
      <c r="A105" s="33" t="s">
        <v>191</v>
      </c>
      <c r="B105" s="34" t="s">
        <v>85</v>
      </c>
      <c r="C105" s="35" t="n">
        <f aca="false">C89+C98-C104-C99</f>
        <v>-749227.3</v>
      </c>
      <c r="D105" s="35" t="n">
        <f aca="false">D89+D98-D104-D99</f>
        <v>127137.741625</v>
      </c>
      <c r="E105" s="35" t="n">
        <f aca="false">E89+E98-E104-E99</f>
        <v>239717.745668125</v>
      </c>
      <c r="F105" s="35" t="n">
        <f aca="false">F89+F98-F104-F99</f>
        <v>654209.082616234</v>
      </c>
      <c r="G105" s="35" t="n">
        <f aca="false">G89+G98-G104-G99</f>
        <v>922873.733697133</v>
      </c>
      <c r="H105" s="35" t="n">
        <f aca="false">H89+H98-H104-H99</f>
        <v>1219145.54420116</v>
      </c>
      <c r="I105" s="35" t="n">
        <f aca="false">I89+I98-I104-I99</f>
        <v>1541468.11683363</v>
      </c>
      <c r="J105" s="35" t="n">
        <f aca="false">J89+J98-J104-J99</f>
        <v>1031740.10476582</v>
      </c>
      <c r="K105" s="35" t="n">
        <f aca="false">K89+K98-K104-K99</f>
        <v>1310879.35123639</v>
      </c>
      <c r="L105" s="35" t="n">
        <f aca="false">L89+L98-L104-L99</f>
        <v>1615019.62382569</v>
      </c>
      <c r="M105" s="35" t="n">
        <f aca="false">M89+M98-M104-M99</f>
        <v>1756120.11199179</v>
      </c>
      <c r="N105" s="35" t="n">
        <f aca="false">N89+N98-N104-N99</f>
        <v>1892282.08307208</v>
      </c>
      <c r="O105" s="35" t="n">
        <f aca="false">O89+O98-O104-O99</f>
        <v>1523154.32813164</v>
      </c>
      <c r="P105" s="35" t="n">
        <f aca="false">P89+P98-P104-P99</f>
        <v>1218232.13498528</v>
      </c>
      <c r="Q105" s="35" t="n">
        <f aca="false">Q89+Q98-Q104-Q99</f>
        <v>1359195.85026079</v>
      </c>
      <c r="R105" s="35" t="n">
        <f aca="false">R89+R98-R104-R99</f>
        <v>2679269.72583611</v>
      </c>
      <c r="S105" s="35" t="n">
        <f aca="false">S89+S98-S104-S99</f>
        <v>3215940.41397503</v>
      </c>
      <c r="T105" s="35" t="n">
        <f aca="false">T89+T98-T104-T99</f>
        <v>3787178.58853007</v>
      </c>
      <c r="U105" s="35" t="n">
        <f aca="false">U89+U98-U104-U99</f>
        <v>4391035.45275915</v>
      </c>
      <c r="V105" s="35" t="n">
        <f aca="false">V89+V98-V104-V99</f>
        <v>2751443.58886928</v>
      </c>
      <c r="W105" s="35" t="n">
        <f aca="false">W89+W98-W104-W99</f>
        <v>3301229.73116621</v>
      </c>
      <c r="X105" s="35" t="n">
        <f aca="false">X89+X98-X104-X99</f>
        <v>3882320.16730599</v>
      </c>
      <c r="Y105" s="35" t="n">
        <f aca="false">Y89+Y98-Y104-Y99</f>
        <v>4058994.96145028</v>
      </c>
      <c r="Z105" s="35" t="n">
        <f aca="false">Z89+Z98-Z104-Z99</f>
        <v>4229486.13779952</v>
      </c>
      <c r="AA105" s="35" t="n">
        <f aca="false">AA89+AA98-AA104-AA99</f>
        <v>3954915.71838123</v>
      </c>
      <c r="AB105" s="35" t="n">
        <f aca="false">AB89+AB98-AB104-AB99</f>
        <v>3161024.10617842</v>
      </c>
      <c r="AC105" s="35" t="n">
        <f aca="false">AC89+AC98-AC104-AC99</f>
        <v>3320497.41746217</v>
      </c>
      <c r="AD105" s="35" t="n">
        <f aca="false">AD89+AD98-AD104-AD99</f>
        <v>5711768.60475166</v>
      </c>
      <c r="AE105" s="35" t="n">
        <f aca="false">AE89+AE98-AE104-AE99</f>
        <v>6543373.61144389</v>
      </c>
      <c r="AF105" s="35" t="n">
        <f aca="false">AF89+AF98-AF104-AF99</f>
        <v>7414085.07550184</v>
      </c>
      <c r="AG105" s="35" t="n">
        <f aca="false">AG89+AG98-AG104-AG99</f>
        <v>8321698.30851421</v>
      </c>
      <c r="AH105" s="35" t="n">
        <f aca="false">AH89+AH98-AH104-AH99</f>
        <v>5344488.59705613</v>
      </c>
      <c r="AI105" s="35" t="n">
        <f aca="false">AI89+AI98-AI104-AI99</f>
        <v>6190931.21567906</v>
      </c>
      <c r="AJ105" s="35" t="n">
        <f aca="false">AJ89+AJ98-AJ104-AJ99</f>
        <v>7072788.617367</v>
      </c>
      <c r="AK105" s="35" t="n">
        <f aca="false">AK89+AK98-AK104-AK99</f>
        <v>7272662.14075915</v>
      </c>
      <c r="AL105" s="35" t="n">
        <f aca="false">AL89+AL98-AL104-AL99</f>
        <v>7465540.09083258</v>
      </c>
    </row>
    <row r="106" customFormat="false" ht="15" hidden="false" customHeight="false" outlineLevel="0" collapsed="false">
      <c r="A106" s="33" t="s">
        <v>192</v>
      </c>
      <c r="B106" s="34" t="s">
        <v>85</v>
      </c>
      <c r="C106" s="35" t="n">
        <f aca="false">C105</f>
        <v>-749227.3</v>
      </c>
      <c r="D106" s="35" t="n">
        <f aca="false">C106+D105</f>
        <v>-622089.558375</v>
      </c>
      <c r="E106" s="35" t="n">
        <f aca="false">D106+E105</f>
        <v>-382371.812706875</v>
      </c>
      <c r="F106" s="35" t="n">
        <f aca="false">E106+F105</f>
        <v>271837.269909359</v>
      </c>
      <c r="G106" s="35" t="n">
        <f aca="false">F106+G105</f>
        <v>1194711.00360649</v>
      </c>
      <c r="H106" s="35" t="n">
        <f aca="false">G106+H105</f>
        <v>2413856.54780766</v>
      </c>
      <c r="I106" s="35" t="n">
        <f aca="false">H106+I105</f>
        <v>3955324.66464129</v>
      </c>
      <c r="J106" s="35" t="n">
        <f aca="false">I106+J105</f>
        <v>4987064.76940711</v>
      </c>
      <c r="K106" s="35" t="n">
        <f aca="false">J106+K105</f>
        <v>6297944.1206435</v>
      </c>
      <c r="L106" s="35" t="n">
        <f aca="false">K106+L105</f>
        <v>7912963.74446919</v>
      </c>
      <c r="M106" s="35" t="n">
        <f aca="false">L106+M105</f>
        <v>9669083.85646098</v>
      </c>
      <c r="N106" s="35" t="n">
        <f aca="false">M106+N105</f>
        <v>11561365.9395331</v>
      </c>
      <c r="O106" s="35" t="n">
        <f aca="false">N106+O105</f>
        <v>13084520.2676647</v>
      </c>
      <c r="P106" s="35" t="n">
        <f aca="false">O106+P105</f>
        <v>14302752.40265</v>
      </c>
      <c r="Q106" s="35" t="n">
        <f aca="false">P106+Q105</f>
        <v>15661948.2529108</v>
      </c>
      <c r="R106" s="35" t="n">
        <f aca="false">Q106+R105</f>
        <v>18341217.9787469</v>
      </c>
      <c r="S106" s="35" t="n">
        <f aca="false">R106+S105</f>
        <v>21557158.3927219</v>
      </c>
      <c r="T106" s="35" t="n">
        <f aca="false">S106+T105</f>
        <v>25344336.981252</v>
      </c>
      <c r="U106" s="35" t="n">
        <f aca="false">T106+U105</f>
        <v>29735372.4340111</v>
      </c>
      <c r="V106" s="35" t="n">
        <f aca="false">U106+V105</f>
        <v>32486816.0228804</v>
      </c>
      <c r="W106" s="35" t="n">
        <f aca="false">V106+W105</f>
        <v>35788045.7540466</v>
      </c>
      <c r="X106" s="35" t="n">
        <f aca="false">W106+X105</f>
        <v>39670365.9213526</v>
      </c>
      <c r="Y106" s="35" t="n">
        <f aca="false">X106+Y105</f>
        <v>43729360.8828029</v>
      </c>
      <c r="Z106" s="35" t="n">
        <f aca="false">Y106+Z105</f>
        <v>47958847.0206024</v>
      </c>
      <c r="AA106" s="35" t="n">
        <f aca="false">Z106+AA105</f>
        <v>51913762.7389836</v>
      </c>
      <c r="AB106" s="35" t="n">
        <f aca="false">AA106+AB105</f>
        <v>55074786.8451621</v>
      </c>
      <c r="AC106" s="35" t="n">
        <f aca="false">AB106+AC105</f>
        <v>58395284.2626242</v>
      </c>
      <c r="AD106" s="35" t="n">
        <f aca="false">AC106+AD105</f>
        <v>64107052.8673759</v>
      </c>
      <c r="AE106" s="35" t="n">
        <f aca="false">AD106+AE105</f>
        <v>70650426.4788198</v>
      </c>
      <c r="AF106" s="35" t="n">
        <f aca="false">AE106+AF105</f>
        <v>78064511.5543216</v>
      </c>
      <c r="AG106" s="35" t="n">
        <f aca="false">AF106+AG105</f>
        <v>86386209.8628358</v>
      </c>
      <c r="AH106" s="35" t="n">
        <f aca="false">AG106+AH105</f>
        <v>91730698.459892</v>
      </c>
      <c r="AI106" s="35" t="n">
        <f aca="false">AH106+AI105</f>
        <v>97921629.675571</v>
      </c>
      <c r="AJ106" s="35" t="n">
        <f aca="false">AI106+AJ105</f>
        <v>104994418.292938</v>
      </c>
      <c r="AK106" s="35" t="n">
        <f aca="false">AJ106+AK105</f>
        <v>112267080.433697</v>
      </c>
      <c r="AL106" s="35" t="n">
        <f aca="false">AK106+AL105</f>
        <v>119732620.52453</v>
      </c>
    </row>
    <row r="107" customFormat="false" ht="15" hidden="false" customHeight="false" outlineLevel="0" collapsed="false">
      <c r="A107" s="3" t="s">
        <v>193</v>
      </c>
      <c r="B107" s="3"/>
      <c r="C107" s="36" t="str">
        <f aca="false">IF(C105&gt;0,C$4,"")</f>
        <v/>
      </c>
      <c r="D107" s="36" t="n">
        <f aca="false">IF(D105&gt;0,D$4,"")</f>
        <v>2</v>
      </c>
      <c r="E107" s="36" t="n">
        <f aca="false">IF(E105&gt;0,E$4,"")</f>
        <v>3</v>
      </c>
      <c r="F107" s="36" t="n">
        <f aca="false">IF(F105&gt;0,F$4,"")</f>
        <v>4</v>
      </c>
      <c r="G107" s="36" t="n">
        <f aca="false">IF(G105&gt;0,G$4,"")</f>
        <v>5</v>
      </c>
      <c r="H107" s="36" t="n">
        <f aca="false">IF(H105&gt;0,H$4,"")</f>
        <v>6</v>
      </c>
      <c r="I107" s="36" t="n">
        <f aca="false">IF(I105&gt;0,I$4,"")</f>
        <v>7</v>
      </c>
      <c r="J107" s="36" t="n">
        <f aca="false">IF(J105&gt;0,J$4,"")</f>
        <v>8</v>
      </c>
      <c r="K107" s="36" t="n">
        <f aca="false">IF(K105&gt;0,K$4,"")</f>
        <v>9</v>
      </c>
      <c r="L107" s="36" t="n">
        <f aca="false">IF(L105&gt;0,L$4,"")</f>
        <v>10</v>
      </c>
      <c r="M107" s="36" t="n">
        <f aca="false">IF(M105&gt;0,M$4,"")</f>
        <v>11</v>
      </c>
      <c r="N107" s="36" t="n">
        <f aca="false">IF(N105&gt;0,N$4,"")</f>
        <v>12</v>
      </c>
      <c r="O107" s="36" t="n">
        <f aca="false">IF(O105&gt;0,O$4,"")</f>
        <v>13</v>
      </c>
      <c r="P107" s="36" t="n">
        <f aca="false">IF(P105&gt;0,P$4,"")</f>
        <v>14</v>
      </c>
      <c r="Q107" s="36" t="n">
        <f aca="false">IF(Q105&gt;0,Q$4,"")</f>
        <v>15</v>
      </c>
      <c r="R107" s="36" t="n">
        <f aca="false">IF(R105&gt;0,R$4,"")</f>
        <v>16</v>
      </c>
      <c r="S107" s="36" t="n">
        <f aca="false">IF(S105&gt;0,S$4,"")</f>
        <v>17</v>
      </c>
      <c r="T107" s="36" t="n">
        <f aca="false">IF(T105&gt;0,T$4,"")</f>
        <v>18</v>
      </c>
      <c r="U107" s="36" t="n">
        <f aca="false">IF(U105&gt;0,U$4,"")</f>
        <v>19</v>
      </c>
      <c r="V107" s="36" t="n">
        <f aca="false">IF(V105&gt;0,V$4,"")</f>
        <v>20</v>
      </c>
      <c r="W107" s="36" t="n">
        <f aca="false">IF(W105&gt;0,W$4,"")</f>
        <v>21</v>
      </c>
      <c r="X107" s="36" t="n">
        <f aca="false">IF(X105&gt;0,X$4,"")</f>
        <v>22</v>
      </c>
      <c r="Y107" s="36" t="n">
        <f aca="false">IF(Y105&gt;0,Y$4,"")</f>
        <v>23</v>
      </c>
      <c r="Z107" s="36" t="n">
        <f aca="false">IF(Z105&gt;0,Z$4,"")</f>
        <v>24</v>
      </c>
      <c r="AA107" s="36" t="n">
        <f aca="false">IF(AA105&gt;0,AA$4,"")</f>
        <v>25</v>
      </c>
      <c r="AB107" s="36" t="n">
        <f aca="false">IF(AB105&gt;0,AB$4,"")</f>
        <v>26</v>
      </c>
      <c r="AC107" s="36" t="n">
        <f aca="false">IF(AC105&gt;0,AC$4,"")</f>
        <v>27</v>
      </c>
      <c r="AD107" s="36" t="n">
        <f aca="false">IF(AD105&gt;0,AD$4,"")</f>
        <v>28</v>
      </c>
      <c r="AE107" s="36" t="n">
        <f aca="false">IF(AE105&gt;0,AE$4,"")</f>
        <v>29</v>
      </c>
      <c r="AF107" s="36" t="n">
        <f aca="false">IF(AF105&gt;0,AF$4,"")</f>
        <v>30</v>
      </c>
      <c r="AG107" s="36" t="n">
        <f aca="false">IF(AG105&gt;0,AG$4,"")</f>
        <v>31</v>
      </c>
      <c r="AH107" s="36" t="n">
        <f aca="false">IF(AH105&gt;0,AH$4,"")</f>
        <v>32</v>
      </c>
      <c r="AI107" s="36" t="n">
        <f aca="false">IF(AI105&gt;0,AI$4,"")</f>
        <v>33</v>
      </c>
      <c r="AJ107" s="36" t="n">
        <f aca="false">IF(AJ105&gt;0,AJ$4,"")</f>
        <v>34</v>
      </c>
      <c r="AK107" s="36" t="n">
        <f aca="false">IF(AK105&gt;0,AK$4,"")</f>
        <v>35</v>
      </c>
      <c r="AL107" s="36" t="n">
        <f aca="false">IF(AL105&gt;0,AL$4,"")</f>
        <v>36</v>
      </c>
    </row>
    <row r="108" customFormat="false" ht="15" hidden="false" customHeight="false" outlineLevel="0" collapsed="false">
      <c r="A108" s="3" t="s">
        <v>194</v>
      </c>
      <c r="B108" s="3"/>
      <c r="C108" s="36" t="str">
        <f aca="false">IF(C106&gt;=0,C$4,"")</f>
        <v/>
      </c>
      <c r="D108" s="36" t="str">
        <f aca="false">IF(D106&gt;=0,D$4,"")</f>
        <v/>
      </c>
      <c r="E108" s="36" t="str">
        <f aca="false">IF(E106&gt;=0,E$4,"")</f>
        <v/>
      </c>
      <c r="F108" s="36" t="n">
        <f aca="false">IF(F106&gt;=0,F$4,"")</f>
        <v>4</v>
      </c>
      <c r="G108" s="36" t="n">
        <f aca="false">IF(G106&gt;=0,G$4,"")</f>
        <v>5</v>
      </c>
      <c r="H108" s="36" t="n">
        <f aca="false">IF(H106&gt;=0,H$4,"")</f>
        <v>6</v>
      </c>
      <c r="I108" s="36" t="n">
        <f aca="false">IF(I106&gt;=0,I$4,"")</f>
        <v>7</v>
      </c>
      <c r="J108" s="36" t="n">
        <f aca="false">IF(J106&gt;=0,J$4,"")</f>
        <v>8</v>
      </c>
      <c r="K108" s="36" t="n">
        <f aca="false">IF(K106&gt;=0,K$4,"")</f>
        <v>9</v>
      </c>
      <c r="L108" s="36" t="n">
        <f aca="false">IF(L106&gt;=0,L$4,"")</f>
        <v>10</v>
      </c>
      <c r="M108" s="36" t="n">
        <f aca="false">IF(M106&gt;=0,M$4,"")</f>
        <v>11</v>
      </c>
      <c r="N108" s="36" t="n">
        <f aca="false">IF(N106&gt;=0,N$4,"")</f>
        <v>12</v>
      </c>
      <c r="O108" s="36" t="n">
        <f aca="false">IF(O106&gt;=0,O$4,"")</f>
        <v>13</v>
      </c>
      <c r="P108" s="36" t="n">
        <f aca="false">IF(P106&gt;=0,P$4,"")</f>
        <v>14</v>
      </c>
      <c r="Q108" s="36" t="n">
        <f aca="false">IF(Q106&gt;=0,Q$4,"")</f>
        <v>15</v>
      </c>
      <c r="R108" s="36" t="n">
        <f aca="false">IF(R106&gt;=0,R$4,"")</f>
        <v>16</v>
      </c>
      <c r="S108" s="36" t="n">
        <f aca="false">IF(S106&gt;=0,S$4,"")</f>
        <v>17</v>
      </c>
      <c r="T108" s="36" t="n">
        <f aca="false">IF(T106&gt;=0,T$4,"")</f>
        <v>18</v>
      </c>
      <c r="U108" s="36" t="n">
        <f aca="false">IF(U106&gt;=0,U$4,"")</f>
        <v>19</v>
      </c>
      <c r="V108" s="36" t="n">
        <f aca="false">IF(V106&gt;=0,V$4,"")</f>
        <v>20</v>
      </c>
      <c r="W108" s="36" t="n">
        <f aca="false">IF(W106&gt;=0,W$4,"")</f>
        <v>21</v>
      </c>
      <c r="X108" s="36" t="n">
        <f aca="false">IF(X106&gt;=0,X$4,"")</f>
        <v>22</v>
      </c>
      <c r="Y108" s="36" t="n">
        <f aca="false">IF(Y106&gt;=0,Y$4,"")</f>
        <v>23</v>
      </c>
      <c r="Z108" s="36" t="n">
        <f aca="false">IF(Z106&gt;=0,Z$4,"")</f>
        <v>24</v>
      </c>
      <c r="AA108" s="36" t="n">
        <f aca="false">IF(AA106&gt;=0,AA$4,"")</f>
        <v>25</v>
      </c>
      <c r="AB108" s="36" t="n">
        <f aca="false">IF(AB106&gt;=0,AB$4,"")</f>
        <v>26</v>
      </c>
      <c r="AC108" s="36" t="n">
        <f aca="false">IF(AC106&gt;=0,AC$4,"")</f>
        <v>27</v>
      </c>
      <c r="AD108" s="36" t="n">
        <f aca="false">IF(AD106&gt;=0,AD$4,"")</f>
        <v>28</v>
      </c>
      <c r="AE108" s="36" t="n">
        <f aca="false">IF(AE106&gt;=0,AE$4,"")</f>
        <v>29</v>
      </c>
      <c r="AF108" s="36" t="n">
        <f aca="false">IF(AF106&gt;=0,AF$4,"")</f>
        <v>30</v>
      </c>
      <c r="AG108" s="36" t="n">
        <f aca="false">IF(AG106&gt;=0,AG$4,"")</f>
        <v>31</v>
      </c>
      <c r="AH108" s="36" t="n">
        <f aca="false">IF(AH106&gt;=0,AH$4,"")</f>
        <v>32</v>
      </c>
      <c r="AI108" s="36" t="n">
        <f aca="false">IF(AI106&gt;=0,AI$4,"")</f>
        <v>33</v>
      </c>
      <c r="AJ108" s="36" t="n">
        <f aca="false">IF(AJ106&gt;=0,AJ$4,"")</f>
        <v>34</v>
      </c>
      <c r="AK108" s="36" t="n">
        <f aca="false">IF(AK106&gt;=0,AK$4,"")</f>
        <v>35</v>
      </c>
      <c r="AL108" s="36" t="n">
        <f aca="false">IF(AL106&gt;=0,AL$4,"")</f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6"/>
    <col collapsed="false" customWidth="true" hidden="false" outlineLevel="0" max="6" min="3" style="0" width="20"/>
    <col collapsed="false" customWidth="true" hidden="false" outlineLevel="0" max="7" min="7" style="0" width="50"/>
  </cols>
  <sheetData>
    <row r="1" customFormat="false" ht="17.35" hidden="false" customHeight="false" outlineLevel="0" collapsed="false">
      <c r="A1" s="1" t="s">
        <v>197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3" t="s">
        <v>198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</row>
    <row r="4" customFormat="false" ht="15" hidden="false" customHeight="false" outlineLevel="0" collapsed="false">
      <c r="A4" s="2"/>
      <c r="B4" s="4" t="s">
        <v>199</v>
      </c>
      <c r="C4" s="2"/>
      <c r="D4" s="2"/>
      <c r="E4" s="2"/>
      <c r="F4" s="2"/>
      <c r="G4" s="2"/>
    </row>
    <row r="5" customFormat="false" ht="15" hidden="false" customHeight="false" outlineLevel="0" collapsed="false">
      <c r="A5" s="2"/>
      <c r="B5" s="2" t="s">
        <v>200</v>
      </c>
      <c r="C5" s="27" t="n">
        <v>25000</v>
      </c>
      <c r="D5" s="2"/>
      <c r="E5" s="2"/>
      <c r="F5" s="2"/>
      <c r="G5" s="3" t="s">
        <v>201</v>
      </c>
    </row>
    <row r="6" customFormat="false" ht="15" hidden="false" customHeight="false" outlineLevel="0" collapsed="false">
      <c r="A6" s="2"/>
      <c r="B6" s="2" t="s">
        <v>202</v>
      </c>
      <c r="C6" s="26" t="n">
        <v>15000</v>
      </c>
      <c r="D6" s="2"/>
      <c r="E6" s="2"/>
      <c r="F6" s="2"/>
      <c r="G6" s="2"/>
    </row>
    <row r="7" customFormat="false" ht="15" hidden="false" customHeight="false" outlineLevel="0" collapsed="false">
      <c r="A7" s="2"/>
      <c r="B7" s="2" t="s">
        <v>203</v>
      </c>
      <c r="C7" s="24" t="n">
        <v>0.01</v>
      </c>
      <c r="D7" s="2"/>
      <c r="E7" s="2"/>
      <c r="F7" s="2"/>
      <c r="G7" s="3" t="s">
        <v>204</v>
      </c>
    </row>
    <row r="8" customFormat="false" ht="15" hidden="false" customHeight="false" outlineLevel="0" collapsed="false">
      <c r="A8" s="2"/>
      <c r="B8" s="2" t="s">
        <v>205</v>
      </c>
      <c r="C8" s="23" t="n">
        <v>0.5</v>
      </c>
      <c r="D8" s="2"/>
      <c r="E8" s="2"/>
      <c r="F8" s="2"/>
      <c r="G8" s="3" t="s">
        <v>206</v>
      </c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</row>
    <row r="10" customFormat="false" ht="15" hidden="false" customHeight="false" outlineLevel="0" collapsed="false">
      <c r="A10" s="2"/>
      <c r="B10" s="4" t="s">
        <v>207</v>
      </c>
      <c r="C10" s="2"/>
      <c r="D10" s="2"/>
      <c r="E10" s="2"/>
      <c r="F10" s="2"/>
      <c r="G10" s="2"/>
    </row>
    <row r="11" customFormat="false" ht="15" hidden="false" customHeight="false" outlineLevel="0" collapsed="false">
      <c r="A11" s="2"/>
      <c r="B11" s="2" t="s">
        <v>208</v>
      </c>
      <c r="C11" s="8" t="n">
        <f aca="false">SUM(План!$AA$46:$AL$46)</f>
        <v>1036.92737925212</v>
      </c>
      <c r="D11" s="2"/>
      <c r="E11" s="2"/>
      <c r="F11" s="2"/>
      <c r="G11" s="2"/>
    </row>
    <row r="12" customFormat="false" ht="15" hidden="false" customHeight="false" outlineLevel="0" collapsed="false">
      <c r="A12" s="2"/>
      <c r="B12" s="2" t="s">
        <v>209</v>
      </c>
      <c r="C12" s="8" t="n">
        <f aca="false">SUM(План!$AA$49:$AL$49)</f>
        <v>117474.11820192</v>
      </c>
      <c r="D12" s="2"/>
      <c r="E12" s="2"/>
      <c r="F12" s="2"/>
      <c r="G12" s="2"/>
    </row>
    <row r="13" customFormat="false" ht="15" hidden="false" customHeight="false" outlineLevel="0" collapsed="false">
      <c r="A13" s="2"/>
      <c r="B13" s="2" t="s">
        <v>11</v>
      </c>
      <c r="C13" s="8" t="n">
        <f aca="false">SUM(План!$AA$50:$AL$50)</f>
        <v>704844709.211518</v>
      </c>
      <c r="D13" s="2"/>
      <c r="E13" s="2"/>
      <c r="F13" s="2"/>
      <c r="G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</row>
    <row r="15" customFormat="false" ht="15" hidden="false" customHeight="false" outlineLevel="0" collapsed="false">
      <c r="A15" s="2"/>
      <c r="B15" s="5" t="s">
        <v>210</v>
      </c>
      <c r="C15" s="5" t="s">
        <v>12</v>
      </c>
      <c r="D15" s="5" t="s">
        <v>211</v>
      </c>
      <c r="E15" s="5" t="s">
        <v>212</v>
      </c>
      <c r="F15" s="2"/>
      <c r="G15" s="2"/>
    </row>
    <row r="16" customFormat="false" ht="15" hidden="false" customHeight="false" outlineLevel="0" collapsed="false">
      <c r="A16" s="2"/>
      <c r="B16" s="4" t="s">
        <v>213</v>
      </c>
      <c r="C16" s="37" t="n">
        <f aca="false">C13*Допущения!$C$6*(1-Допущения!$C$13)</f>
        <v>34184968.3967586</v>
      </c>
      <c r="D16" s="37" t="n">
        <f aca="false">IF($C$11=0,0,C16/$C$11)</f>
        <v>32967.5627057068</v>
      </c>
      <c r="E16" s="2" t="s">
        <v>214</v>
      </c>
      <c r="F16" s="2"/>
      <c r="G16" s="2"/>
    </row>
    <row r="17" customFormat="false" ht="15" hidden="false" customHeight="false" outlineLevel="0" collapsed="false">
      <c r="A17" s="2"/>
      <c r="B17" s="6" t="s">
        <v>215</v>
      </c>
      <c r="C17" s="37" t="n">
        <f aca="false">C11*C8*C5</f>
        <v>12961592.2406516</v>
      </c>
      <c r="D17" s="37" t="n">
        <f aca="false">IF($C$11=0,0,C17/$C$11)</f>
        <v>12500</v>
      </c>
      <c r="E17" s="2" t="s">
        <v>216</v>
      </c>
      <c r="F17" s="2"/>
      <c r="G17" s="2"/>
    </row>
    <row r="18" customFormat="false" ht="15" hidden="false" customHeight="false" outlineLevel="0" collapsed="false">
      <c r="A18" s="2"/>
      <c r="B18" s="6" t="s">
        <v>217</v>
      </c>
      <c r="C18" s="37" t="n">
        <f aca="false">C11*C8*C6+C13*C7*(1-Допущения!$C$13)</f>
        <v>14613949.0237427</v>
      </c>
      <c r="D18" s="37" t="n">
        <f aca="false">IF($C$11=0,0,C18/$C$11)</f>
        <v>14093.5125411414</v>
      </c>
      <c r="E18" s="2" t="s">
        <v>216</v>
      </c>
      <c r="F18" s="2"/>
      <c r="G18" s="2"/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  <c r="G19" s="2"/>
    </row>
    <row r="20" customFormat="false" ht="15" hidden="false" customHeight="false" outlineLevel="0" collapsed="false">
      <c r="A20" s="2"/>
      <c r="B20" s="4" t="s">
        <v>218</v>
      </c>
      <c r="C20" s="2"/>
      <c r="D20" s="2"/>
      <c r="E20" s="2"/>
      <c r="F20" s="2"/>
      <c r="G20" s="2"/>
    </row>
    <row r="21" customFormat="false" ht="15" hidden="false" customHeight="false" outlineLevel="0" collapsed="false">
      <c r="A21" s="2"/>
      <c r="B21" s="2" t="s">
        <v>219</v>
      </c>
      <c r="C21" s="38" t="n">
        <f aca="false">IF(Допущения!$D$22*Допущения!$C$6*(1-Допущения!$C$13)=0,0,C5/(Допущения!$D$22*Допущения!$C$6*(1-Допущения!$C$13)))</f>
        <v>85.9106529209622</v>
      </c>
      <c r="D21" s="2"/>
      <c r="E21" s="2"/>
      <c r="F21" s="2"/>
      <c r="G21" s="3" t="s">
        <v>220</v>
      </c>
    </row>
    <row r="22" customFormat="false" ht="15" hidden="false" customHeight="false" outlineLevel="0" collapsed="false">
      <c r="A22" s="2"/>
      <c r="B22" s="2" t="s">
        <v>221</v>
      </c>
      <c r="C22" s="7" t="n">
        <f aca="false">'Юнит-экономика'!D15*(1-Допущения!$C$12)</f>
        <v>111.87</v>
      </c>
      <c r="D22" s="2"/>
      <c r="E22" s="2"/>
      <c r="F22" s="2"/>
      <c r="G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</row>
    <row r="24" customFormat="false" ht="15" hidden="false" customHeight="false" outlineLevel="0" collapsed="false">
      <c r="A24" s="2"/>
      <c r="B24" s="4" t="s">
        <v>222</v>
      </c>
      <c r="C24" s="2"/>
      <c r="D24" s="2"/>
      <c r="E24" s="2"/>
      <c r="F24" s="2"/>
      <c r="G24" s="2"/>
    </row>
    <row r="25" customFormat="false" ht="15" hidden="false" customHeight="true" outlineLevel="0" collapsed="false">
      <c r="A25" s="2"/>
      <c r="B25" s="39" t="s">
        <v>223</v>
      </c>
      <c r="C25" s="39"/>
      <c r="D25" s="39"/>
      <c r="E25" s="39"/>
      <c r="F25" s="39"/>
      <c r="G25" s="39"/>
    </row>
    <row r="26" customFormat="false" ht="15" hidden="false" customHeight="false" outlineLevel="0" collapsed="false">
      <c r="A26" s="2"/>
      <c r="B26" s="39"/>
      <c r="C26" s="39"/>
      <c r="D26" s="39"/>
      <c r="E26" s="39"/>
      <c r="F26" s="39"/>
      <c r="G26" s="39"/>
    </row>
    <row r="27" customFormat="false" ht="15" hidden="false" customHeight="false" outlineLevel="0" collapsed="false">
      <c r="A27" s="2"/>
      <c r="B27" s="39"/>
      <c r="C27" s="39"/>
      <c r="D27" s="39"/>
      <c r="E27" s="39"/>
      <c r="F27" s="39"/>
      <c r="G27" s="39"/>
    </row>
    <row r="28" customFormat="false" ht="15" hidden="false" customHeight="false" outlineLevel="0" collapsed="false">
      <c r="A28" s="2"/>
      <c r="B28" s="39"/>
      <c r="C28" s="39"/>
      <c r="D28" s="39"/>
      <c r="E28" s="39"/>
      <c r="F28" s="39"/>
      <c r="G28" s="39"/>
    </row>
  </sheetData>
  <mergeCells count="1">
    <mergeCell ref="B25:G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8" min="3" style="0" width="16"/>
  </cols>
  <sheetData>
    <row r="1" customFormat="false" ht="17.35" hidden="false" customHeight="false" outlineLevel="0" collapsed="false">
      <c r="A1" s="1" t="s">
        <v>224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225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26.85" hidden="false" customHeight="false" outlineLevel="0" collapsed="false">
      <c r="A4" s="2"/>
      <c r="B4" s="5" t="s">
        <v>226</v>
      </c>
      <c r="C4" s="40" t="s">
        <v>227</v>
      </c>
      <c r="D4" s="40" t="s">
        <v>228</v>
      </c>
      <c r="E4" s="40" t="s">
        <v>229</v>
      </c>
      <c r="F4" s="40" t="s">
        <v>230</v>
      </c>
      <c r="G4" s="40" t="s">
        <v>231</v>
      </c>
      <c r="H4" s="40" t="s">
        <v>232</v>
      </c>
    </row>
    <row r="5" customFormat="false" ht="15" hidden="false" customHeight="false" outlineLevel="0" collapsed="false">
      <c r="A5" s="2"/>
      <c r="B5" s="2" t="s">
        <v>233</v>
      </c>
      <c r="C5" s="26" t="n">
        <v>60</v>
      </c>
      <c r="D5" s="26" t="n">
        <v>100</v>
      </c>
      <c r="E5" s="26" t="n">
        <v>80</v>
      </c>
      <c r="F5" s="26" t="n">
        <v>5000</v>
      </c>
      <c r="G5" s="37" t="n">
        <f aca="false">C5*D5*E5*F5</f>
        <v>2400000000</v>
      </c>
      <c r="H5" s="37" t="n">
        <f aca="false">G5*Допущения!$C$6</f>
        <v>120000000</v>
      </c>
    </row>
    <row r="6" customFormat="false" ht="15" hidden="false" customHeight="false" outlineLevel="0" collapsed="false">
      <c r="A6" s="2"/>
      <c r="B6" s="2" t="s">
        <v>234</v>
      </c>
      <c r="C6" s="26" t="n">
        <v>300</v>
      </c>
      <c r="D6" s="26" t="n">
        <v>24</v>
      </c>
      <c r="E6" s="26" t="n">
        <v>200</v>
      </c>
      <c r="F6" s="26" t="n">
        <v>7000</v>
      </c>
      <c r="G6" s="37" t="n">
        <f aca="false">C6*D6*E6*F6</f>
        <v>10080000000</v>
      </c>
      <c r="H6" s="37" t="n">
        <f aca="false">G6*Допущения!$C$6</f>
        <v>504000000</v>
      </c>
    </row>
    <row r="7" customFormat="false" ht="15" hidden="false" customHeight="false" outlineLevel="0" collapsed="false">
      <c r="A7" s="2"/>
      <c r="B7" s="2" t="s">
        <v>235</v>
      </c>
      <c r="C7" s="26" t="n">
        <v>80</v>
      </c>
      <c r="D7" s="26" t="n">
        <v>60</v>
      </c>
      <c r="E7" s="26" t="n">
        <v>120</v>
      </c>
      <c r="F7" s="26" t="n">
        <v>5000</v>
      </c>
      <c r="G7" s="37" t="n">
        <f aca="false">C7*D7*E7*F7</f>
        <v>2880000000</v>
      </c>
      <c r="H7" s="37" t="n">
        <f aca="false">G7*Допущения!$C$6</f>
        <v>144000000</v>
      </c>
    </row>
    <row r="8" customFormat="false" ht="15" hidden="false" customHeight="false" outlineLevel="0" collapsed="false">
      <c r="A8" s="2"/>
      <c r="B8" s="2" t="s">
        <v>236</v>
      </c>
      <c r="C8" s="26" t="n">
        <v>200</v>
      </c>
      <c r="D8" s="26" t="n">
        <v>6</v>
      </c>
      <c r="E8" s="26" t="n">
        <v>150</v>
      </c>
      <c r="F8" s="26" t="n">
        <v>15000</v>
      </c>
      <c r="G8" s="37" t="n">
        <f aca="false">C8*D8*E8*F8</f>
        <v>2700000000</v>
      </c>
      <c r="H8" s="37" t="n">
        <f aca="false">G8*Допущения!$C$6</f>
        <v>135000000</v>
      </c>
    </row>
    <row r="9" customFormat="false" ht="15" hidden="false" customHeight="false" outlineLevel="0" collapsed="false">
      <c r="A9" s="2"/>
      <c r="B9" s="2" t="s">
        <v>237</v>
      </c>
      <c r="C9" s="26" t="n">
        <v>50</v>
      </c>
      <c r="D9" s="26" t="n">
        <v>2</v>
      </c>
      <c r="E9" s="26" t="n">
        <v>1500</v>
      </c>
      <c r="F9" s="26" t="n">
        <v>8000</v>
      </c>
      <c r="G9" s="37" t="n">
        <f aca="false">C9*D9*E9*F9</f>
        <v>1200000000</v>
      </c>
      <c r="H9" s="37" t="n">
        <f aca="false">G9*Допущения!$C$6</f>
        <v>60000000</v>
      </c>
    </row>
    <row r="10" customFormat="false" ht="15" hidden="false" customHeight="false" outlineLevel="0" collapsed="false">
      <c r="A10" s="2"/>
      <c r="B10" s="2" t="s">
        <v>238</v>
      </c>
      <c r="C10" s="26" t="n">
        <v>600</v>
      </c>
      <c r="D10" s="26" t="n">
        <v>24</v>
      </c>
      <c r="E10" s="26" t="n">
        <v>30</v>
      </c>
      <c r="F10" s="26" t="n">
        <v>4000</v>
      </c>
      <c r="G10" s="37" t="n">
        <f aca="false">C10*D10*E10*F10</f>
        <v>1728000000</v>
      </c>
      <c r="H10" s="37" t="n">
        <f aca="false">G10*Допущения!$C$6</f>
        <v>86400000</v>
      </c>
    </row>
    <row r="11" customFormat="false" ht="15" hidden="false" customHeight="false" outlineLevel="0" collapsed="false">
      <c r="A11" s="2"/>
      <c r="B11" s="4" t="s">
        <v>239</v>
      </c>
      <c r="C11" s="12" t="n">
        <f aca="false">SUM(C5:C10)</f>
        <v>1290</v>
      </c>
      <c r="D11" s="2"/>
      <c r="E11" s="2"/>
      <c r="F11" s="2"/>
      <c r="G11" s="12" t="n">
        <f aca="false">SUM(G5:G10)</f>
        <v>20988000000</v>
      </c>
      <c r="H11" s="12" t="n">
        <f aca="false">SUM(H5:H10)</f>
        <v>1049400000</v>
      </c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  <c r="G12" s="2"/>
      <c r="H12" s="2"/>
    </row>
    <row r="13" customFormat="false" ht="15" hidden="false" customHeight="false" outlineLevel="0" collapsed="false">
      <c r="A13" s="2"/>
      <c r="B13" s="4" t="s">
        <v>240</v>
      </c>
      <c r="C13" s="41" t="n">
        <f aca="false">IF(G11=0,0,SUM(План!$AA$50:$AL$50)/G11)</f>
        <v>0.0335832241857975</v>
      </c>
      <c r="D13" s="2"/>
      <c r="E13" s="2"/>
      <c r="F13" s="2"/>
      <c r="G13" s="2"/>
      <c r="H13" s="2"/>
    </row>
    <row r="14" customFormat="false" ht="15" hidden="false" customHeight="false" outlineLevel="0" collapsed="false">
      <c r="A14" s="2"/>
      <c r="B14" s="4" t="s">
        <v>241</v>
      </c>
      <c r="C14" s="41" t="n">
        <f aca="false">IF(C11=0,0,План!AL46/C11)</f>
        <v>0.0794974893500609</v>
      </c>
      <c r="D14" s="2"/>
      <c r="E14" s="2"/>
      <c r="F14" s="2"/>
      <c r="G14" s="2"/>
      <c r="H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</row>
    <row r="16" customFormat="false" ht="15" hidden="false" customHeight="false" outlineLevel="0" collapsed="false">
      <c r="A16" s="2"/>
      <c r="B16" s="4" t="s">
        <v>242</v>
      </c>
      <c r="C16" s="2"/>
      <c r="D16" s="2"/>
      <c r="E16" s="2"/>
      <c r="F16" s="2"/>
      <c r="G16" s="2"/>
      <c r="H16" s="2"/>
    </row>
    <row r="17" customFormat="false" ht="15" hidden="false" customHeight="false" outlineLevel="0" collapsed="false">
      <c r="A17" s="2"/>
      <c r="B17" s="2" t="s">
        <v>243</v>
      </c>
      <c r="C17" s="26" t="n">
        <v>42810</v>
      </c>
      <c r="D17" s="3" t="s">
        <v>244</v>
      </c>
      <c r="E17" s="2"/>
      <c r="F17" s="2"/>
      <c r="G17" s="2"/>
      <c r="H17" s="2"/>
    </row>
    <row r="18" customFormat="false" ht="15" hidden="false" customHeight="false" outlineLevel="0" collapsed="false">
      <c r="A18" s="2"/>
      <c r="B18" s="2" t="s">
        <v>245</v>
      </c>
      <c r="C18" s="42" t="n">
        <v>11.9</v>
      </c>
      <c r="D18" s="2"/>
      <c r="E18" s="2"/>
      <c r="F18" s="2"/>
      <c r="G18" s="2"/>
      <c r="H18" s="2"/>
    </row>
    <row r="19" customFormat="false" ht="15" hidden="false" customHeight="false" outlineLevel="0" collapsed="false">
      <c r="A19" s="2"/>
      <c r="B19" s="2" t="s">
        <v>246</v>
      </c>
      <c r="C19" s="26" t="n">
        <v>480</v>
      </c>
      <c r="D19" s="2"/>
      <c r="E19" s="2"/>
      <c r="F19" s="2"/>
      <c r="G19" s="2"/>
      <c r="H19" s="2"/>
    </row>
    <row r="20" customFormat="false" ht="15" hidden="false" customHeight="false" outlineLevel="0" collapsed="false">
      <c r="A20" s="2"/>
      <c r="B20" s="4" t="s">
        <v>247</v>
      </c>
      <c r="C20" s="37" t="n">
        <f aca="false">C17*C18*C19*12</f>
        <v>2934368640</v>
      </c>
      <c r="D20" s="2"/>
      <c r="E20" s="2"/>
      <c r="F20" s="2"/>
      <c r="G20" s="2"/>
      <c r="H20" s="2"/>
    </row>
    <row r="21" customFormat="false" ht="15" hidden="false" customHeight="false" outlineLevel="0" collapsed="false">
      <c r="A21" s="2"/>
      <c r="B21" s="4" t="s">
        <v>248</v>
      </c>
      <c r="C21" s="43" t="n">
        <f aca="false">IF(C20=0,0,G11/C20)</f>
        <v>7.15247556626014</v>
      </c>
      <c r="D21" s="3" t="s">
        <v>249</v>
      </c>
      <c r="E21" s="2"/>
      <c r="F21" s="2"/>
      <c r="G21" s="2"/>
      <c r="H21" s="2"/>
    </row>
    <row r="22" customFormat="false" ht="15" hidden="false" customHeight="false" outlineLevel="0" collapsed="false">
      <c r="A22" s="2"/>
      <c r="B22" s="4" t="s">
        <v>250</v>
      </c>
      <c r="C22" s="41" t="n">
        <f aca="false">IF(C20=0,0,SUM(План!$AA$50:$AL$50)/C20)</f>
        <v>0.240203190425153</v>
      </c>
      <c r="D22" s="2"/>
      <c r="E22" s="2"/>
      <c r="F22" s="2"/>
      <c r="G22" s="2"/>
      <c r="H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</row>
    <row r="24" customFormat="false" ht="15" hidden="false" customHeight="false" outlineLevel="0" collapsed="false">
      <c r="A24" s="2"/>
      <c r="B24" s="4" t="s">
        <v>251</v>
      </c>
      <c r="C24" s="2"/>
      <c r="D24" s="2"/>
      <c r="E24" s="2"/>
      <c r="F24" s="2"/>
      <c r="G24" s="2"/>
      <c r="H24" s="2"/>
    </row>
    <row r="25" customFormat="false" ht="26.85" hidden="false" customHeight="false" outlineLevel="0" collapsed="false">
      <c r="A25" s="2"/>
      <c r="B25" s="44" t="s">
        <v>252</v>
      </c>
      <c r="C25" s="26" t="n">
        <v>450</v>
      </c>
      <c r="D25" s="3" t="s">
        <v>253</v>
      </c>
      <c r="E25" s="2"/>
      <c r="F25" s="2"/>
      <c r="G25" s="2"/>
      <c r="H25" s="2"/>
    </row>
    <row r="26" customFormat="false" ht="26.85" hidden="false" customHeight="false" outlineLevel="0" collapsed="false">
      <c r="A26" s="2"/>
      <c r="B26" s="44" t="s">
        <v>254</v>
      </c>
      <c r="C26" s="26" t="n">
        <v>60</v>
      </c>
      <c r="D26" s="3" t="s">
        <v>255</v>
      </c>
      <c r="E26" s="2"/>
      <c r="F26" s="2"/>
      <c r="G26" s="2"/>
      <c r="H26" s="2"/>
    </row>
    <row r="27" customFormat="false" ht="15" hidden="false" customHeight="false" outlineLevel="0" collapsed="false">
      <c r="A27" s="2"/>
      <c r="B27" s="44" t="s">
        <v>256</v>
      </c>
      <c r="C27" s="7" t="n">
        <f aca="false">Допущения!$D$40</f>
        <v>2</v>
      </c>
      <c r="D27" s="2"/>
      <c r="E27" s="2"/>
      <c r="F27" s="2"/>
      <c r="G27" s="2"/>
      <c r="H27" s="2"/>
    </row>
    <row r="28" customFormat="false" ht="15" hidden="false" customHeight="false" outlineLevel="0" collapsed="false">
      <c r="A28" s="2"/>
      <c r="B28" s="45" t="s">
        <v>257</v>
      </c>
      <c r="C28" s="41" t="n">
        <f aca="false">IF(C26=0,0,C27/C26)</f>
        <v>0.0333333333333333</v>
      </c>
      <c r="D28" s="2"/>
      <c r="E28" s="2"/>
      <c r="F28" s="2"/>
      <c r="G28" s="2"/>
      <c r="H28" s="2"/>
    </row>
    <row r="29" customFormat="false" ht="15" hidden="false" customHeight="false" outlineLevel="0" collapsed="false">
      <c r="A29" s="2"/>
      <c r="B29" s="45" t="s">
        <v>258</v>
      </c>
      <c r="C29" s="41" t="n">
        <f aca="false">IF(C25=0,0,C27/C25)</f>
        <v>0.00444444444444444</v>
      </c>
      <c r="D29" s="2"/>
      <c r="E29" s="2"/>
      <c r="F29" s="2"/>
      <c r="G29" s="2"/>
      <c r="H2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259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5" t="s">
        <v>260</v>
      </c>
      <c r="B3" s="5" t="s">
        <v>261</v>
      </c>
    </row>
    <row r="4" customFormat="false" ht="48" hidden="false" customHeight="true" outlineLevel="0" collapsed="false">
      <c r="A4" s="4" t="s">
        <v>262</v>
      </c>
      <c r="B4" s="44" t="s">
        <v>263</v>
      </c>
    </row>
    <row r="5" customFormat="false" ht="48" hidden="false" customHeight="true" outlineLevel="0" collapsed="false">
      <c r="A5" s="4" t="s">
        <v>264</v>
      </c>
      <c r="B5" s="44" t="s">
        <v>265</v>
      </c>
    </row>
    <row r="6" customFormat="false" ht="48" hidden="false" customHeight="true" outlineLevel="0" collapsed="false">
      <c r="A6" s="4" t="s">
        <v>266</v>
      </c>
      <c r="B6" s="44" t="s">
        <v>267</v>
      </c>
    </row>
    <row r="7" customFormat="false" ht="48" hidden="false" customHeight="true" outlineLevel="0" collapsed="false">
      <c r="A7" s="4" t="s">
        <v>268</v>
      </c>
      <c r="B7" s="44" t="s">
        <v>269</v>
      </c>
    </row>
    <row r="8" customFormat="false" ht="96" hidden="false" customHeight="true" outlineLevel="0" collapsed="false">
      <c r="A8" s="4" t="s">
        <v>270</v>
      </c>
      <c r="B8" s="44" t="s">
        <v>271</v>
      </c>
    </row>
    <row r="9" customFormat="false" ht="48" hidden="false" customHeight="true" outlineLevel="0" collapsed="false">
      <c r="A9" s="4" t="s">
        <v>272</v>
      </c>
      <c r="B9" s="44" t="s">
        <v>273</v>
      </c>
    </row>
    <row r="10" customFormat="false" ht="15" hidden="false" customHeight="false" outlineLevel="0" collapsed="false">
      <c r="A10" s="2"/>
      <c r="B10" s="2"/>
    </row>
    <row r="11" customFormat="false" ht="15" hidden="false" customHeight="false" outlineLevel="0" collapsed="false">
      <c r="A11" s="2"/>
      <c r="B11" s="2"/>
    </row>
    <row r="12" customFormat="false" ht="15" hidden="false" customHeight="false" outlineLevel="0" collapsed="false">
      <c r="A12" s="4" t="s">
        <v>274</v>
      </c>
      <c r="B12" s="2"/>
    </row>
    <row r="13" customFormat="false" ht="15" hidden="false" customHeight="false" outlineLevel="0" collapsed="false">
      <c r="A13" s="6" t="s">
        <v>275</v>
      </c>
      <c r="B13" s="2" t="s">
        <v>276</v>
      </c>
    </row>
    <row r="14" customFormat="false" ht="15" hidden="false" customHeight="false" outlineLevel="0" collapsed="false">
      <c r="A14" s="6" t="s">
        <v>277</v>
      </c>
      <c r="B14" s="2" t="s">
        <v>278</v>
      </c>
    </row>
    <row r="15" customFormat="false" ht="15" hidden="false" customHeight="false" outlineLevel="0" collapsed="false">
      <c r="A15" s="6" t="s">
        <v>279</v>
      </c>
      <c r="B15" s="2" t="s">
        <v>280</v>
      </c>
    </row>
    <row r="16" customFormat="false" ht="15" hidden="false" customHeight="false" outlineLevel="0" collapsed="false">
      <c r="A16" s="6" t="s">
        <v>281</v>
      </c>
      <c r="B16" s="2" t="s">
        <v>282</v>
      </c>
    </row>
    <row r="17" customFormat="false" ht="15" hidden="false" customHeight="false" outlineLevel="0" collapsed="false">
      <c r="A17" s="6" t="s">
        <v>283</v>
      </c>
      <c r="B17" s="2" t="s">
        <v>284</v>
      </c>
    </row>
    <row r="18" customFormat="false" ht="15" hidden="false" customHeight="false" outlineLevel="0" collapsed="false">
      <c r="A18" s="6" t="s">
        <v>285</v>
      </c>
      <c r="B18" s="2" t="s">
        <v>286</v>
      </c>
    </row>
    <row r="19" customFormat="false" ht="15" hidden="false" customHeight="false" outlineLevel="0" collapsed="false">
      <c r="A19" s="4" t="s">
        <v>287</v>
      </c>
      <c r="B19" s="2"/>
    </row>
    <row r="20" customFormat="false" ht="15" hidden="false" customHeight="false" outlineLevel="0" collapsed="false">
      <c r="A20" s="6" t="s">
        <v>288</v>
      </c>
      <c r="B20" s="2" t="s">
        <v>289</v>
      </c>
    </row>
    <row r="21" customFormat="false" ht="15" hidden="false" customHeight="false" outlineLevel="0" collapsed="false">
      <c r="A21" s="6" t="s">
        <v>290</v>
      </c>
      <c r="B21" s="2" t="s">
        <v>291</v>
      </c>
    </row>
    <row r="22" customFormat="false" ht="15" hidden="false" customHeight="false" outlineLevel="0" collapsed="false">
      <c r="A22" s="6" t="s">
        <v>292</v>
      </c>
      <c r="B22" s="2" t="s">
        <v>293</v>
      </c>
    </row>
    <row r="23" customFormat="false" ht="15" hidden="false" customHeight="false" outlineLevel="0" collapsed="false">
      <c r="A23" s="6" t="s">
        <v>294</v>
      </c>
      <c r="B23" s="2" t="s">
        <v>295</v>
      </c>
    </row>
    <row r="24" customFormat="false" ht="15" hidden="false" customHeight="false" outlineLevel="0" collapsed="false">
      <c r="A24" s="6" t="s">
        <v>296</v>
      </c>
      <c r="B24" s="2" t="s">
        <v>297</v>
      </c>
    </row>
    <row r="25" customFormat="false" ht="15" hidden="false" customHeight="false" outlineLevel="0" collapsed="false">
      <c r="A25" s="6" t="s">
        <v>298</v>
      </c>
      <c r="B25" s="2" t="s">
        <v>299</v>
      </c>
    </row>
    <row r="26" customFormat="false" ht="15" hidden="false" customHeight="false" outlineLevel="0" collapsed="false">
      <c r="A26" s="6" t="s">
        <v>300</v>
      </c>
      <c r="B26" s="2" t="s">
        <v>301</v>
      </c>
    </row>
    <row r="27" customFormat="false" ht="15" hidden="false" customHeight="false" outlineLevel="0" collapsed="false">
      <c r="A27" s="6" t="s">
        <v>302</v>
      </c>
      <c r="B27" s="2" t="s">
        <v>303</v>
      </c>
    </row>
    <row r="28" customFormat="false" ht="15" hidden="false" customHeight="false" outlineLevel="0" collapsed="false">
      <c r="A28" s="6" t="s">
        <v>304</v>
      </c>
      <c r="B28" s="2" t="s">
        <v>305</v>
      </c>
    </row>
    <row r="29" customFormat="false" ht="15" hidden="false" customHeight="false" outlineLevel="0" collapsed="false">
      <c r="A29" s="6" t="s">
        <v>306</v>
      </c>
      <c r="B29" s="2" t="s">
        <v>307</v>
      </c>
    </row>
    <row r="30" customFormat="false" ht="15" hidden="false" customHeight="false" outlineLevel="0" collapsed="false">
      <c r="A30" s="6" t="s">
        <v>308</v>
      </c>
      <c r="B30" s="2" t="s">
        <v>309</v>
      </c>
    </row>
    <row r="31" customFormat="false" ht="15" hidden="false" customHeight="false" outlineLevel="0" collapsed="false">
      <c r="A31" s="6" t="s">
        <v>310</v>
      </c>
      <c r="B31" s="2" t="s">
        <v>311</v>
      </c>
    </row>
    <row r="32" customFormat="false" ht="15" hidden="false" customHeight="false" outlineLevel="0" collapsed="false">
      <c r="A32" s="6" t="s">
        <v>312</v>
      </c>
      <c r="B32" s="2" t="s">
        <v>313</v>
      </c>
    </row>
    <row r="33" customFormat="false" ht="15" hidden="false" customHeight="false" outlineLevel="0" collapsed="false">
      <c r="A33" s="6" t="s">
        <v>314</v>
      </c>
      <c r="B33" s="2" t="s">
        <v>315</v>
      </c>
    </row>
    <row r="34" customFormat="false" ht="15" hidden="false" customHeight="false" outlineLevel="0" collapsed="false">
      <c r="A34" s="6" t="s">
        <v>316</v>
      </c>
      <c r="B34" s="2" t="s">
        <v>317</v>
      </c>
    </row>
    <row r="35" customFormat="false" ht="15" hidden="false" customHeight="false" outlineLevel="0" collapsed="false">
      <c r="A35" s="6" t="s">
        <v>318</v>
      </c>
      <c r="B35" s="2" t="s">
        <v>319</v>
      </c>
    </row>
    <row r="36" customFormat="false" ht="15" hidden="false" customHeight="false" outlineLevel="0" collapsed="false">
      <c r="A36" s="6" t="s">
        <v>320</v>
      </c>
      <c r="B36" s="2" t="s">
        <v>321</v>
      </c>
    </row>
    <row r="37" customFormat="false" ht="15" hidden="false" customHeight="false" outlineLevel="0" collapsed="false">
      <c r="A37" s="6" t="s">
        <v>322</v>
      </c>
      <c r="B37" s="2" t="s">
        <v>323</v>
      </c>
    </row>
    <row r="38" customFormat="false" ht="15" hidden="false" customHeight="false" outlineLevel="0" collapsed="false">
      <c r="A38" s="6" t="s">
        <v>324</v>
      </c>
      <c r="B38" s="2" t="s">
        <v>325</v>
      </c>
    </row>
    <row r="39" customFormat="false" ht="15" hidden="false" customHeight="false" outlineLevel="0" collapsed="false">
      <c r="A39" s="6" t="s">
        <v>326</v>
      </c>
      <c r="B39" s="2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2026-10-09T11:54:41Z</dcterms:created>
  <dc:creator>openpyxl</dc:creator>
  <dc:description/>
  <dc:language>en-US</dc:language>
  <cp:lastModifiedBy/>
  <dcterms:modified xsi:type="dcterms:W3CDTF">2026-10-09T11:54:41Z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